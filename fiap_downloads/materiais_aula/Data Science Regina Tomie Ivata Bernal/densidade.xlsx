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Documents\ReginaBenal\trab04\"/>
    </mc:Choice>
  </mc:AlternateContent>
  <xr:revisionPtr revIDLastSave="0" documentId="13_ncr:1_{38299707-FBC7-40F9-89C7-70360E088823}" xr6:coauthVersionLast="47" xr6:coauthVersionMax="47" xr10:uidLastSave="{00000000-0000-0000-0000-000000000000}"/>
  <bookViews>
    <workbookView xWindow="-120" yWindow="-120" windowWidth="24240" windowHeight="13020" xr2:uid="{889F0C6E-5CED-4699-BC5C-CD0382E2D7B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11" i="2"/>
  <c r="G12" i="2"/>
  <c r="G13" i="2"/>
  <c r="G14" i="2"/>
  <c r="F12" i="2"/>
  <c r="D12" i="2"/>
  <c r="D13" i="2"/>
  <c r="D14" i="2"/>
  <c r="D15" i="2"/>
  <c r="D16" i="2"/>
  <c r="D17" i="2"/>
  <c r="D18" i="2"/>
  <c r="D19" i="2"/>
  <c r="G11" i="2"/>
  <c r="F11" i="2"/>
  <c r="D11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D3" i="2"/>
  <c r="D4" i="2"/>
  <c r="D5" i="2"/>
  <c r="D6" i="2"/>
  <c r="D7" i="2"/>
  <c r="D8" i="2"/>
  <c r="E8" i="2" s="1"/>
  <c r="D9" i="2"/>
  <c r="E9" i="2" s="1"/>
  <c r="D10" i="2"/>
  <c r="E10" i="2" s="1"/>
  <c r="D2" i="2"/>
</calcChain>
</file>

<file path=xl/sharedStrings.xml><?xml version="1.0" encoding="utf-8"?>
<sst xmlns="http://schemas.openxmlformats.org/spreadsheetml/2006/main" count="11" uniqueCount="9">
  <si>
    <t>ano</t>
  </si>
  <si>
    <t>densidade</t>
  </si>
  <si>
    <t>média</t>
  </si>
  <si>
    <t>linear</t>
  </si>
  <si>
    <t>Tempo</t>
  </si>
  <si>
    <t>resíduo</t>
  </si>
  <si>
    <t>exponencial</t>
  </si>
  <si>
    <t>polinomial2</t>
  </si>
  <si>
    <t>out/2007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</si>
</sst>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788079615048118"/>
                  <c:y val="3.7507290755322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8.5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.7000000000000002"/>
            <c:dispRSqr val="1"/>
            <c:dispEq val="1"/>
            <c:trendlineLbl>
              <c:layout>
                <c:manualLayout>
                  <c:x val="-0.26056583552055995"/>
                  <c:y val="-5.16506270049577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3.7"/>
            <c:dispRSqr val="1"/>
            <c:dispEq val="1"/>
            <c:trendlineLbl>
              <c:layout>
                <c:manualLayout>
                  <c:x val="-0.17318285214348206"/>
                  <c:y val="0.13320574511519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Sheet2!$C$2:$C$10</c:f>
              <c:numCache>
                <c:formatCode>General</c:formatCode>
                <c:ptCount val="9"/>
                <c:pt idx="0">
                  <c:v>4.4000000000000004</c:v>
                </c:pt>
                <c:pt idx="1">
                  <c:v>8.9</c:v>
                </c:pt>
                <c:pt idx="2">
                  <c:v>13.5</c:v>
                </c:pt>
                <c:pt idx="3">
                  <c:v>16.399999999999999</c:v>
                </c:pt>
                <c:pt idx="4">
                  <c:v>19.7</c:v>
                </c:pt>
                <c:pt idx="5">
                  <c:v>25.8</c:v>
                </c:pt>
                <c:pt idx="6">
                  <c:v>35.9</c:v>
                </c:pt>
                <c:pt idx="7">
                  <c:v>46.6</c:v>
                </c:pt>
                <c:pt idx="8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F-4E60-ABAC-B1E89FA27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833951"/>
        <c:axId val="531830623"/>
      </c:lineChart>
      <c:catAx>
        <c:axId val="53183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  <a:p>
                <a:pPr>
                  <a:defRPr/>
                </a:pPr>
                <a:r>
                  <a:rPr lang="pt-BR"/>
                  <a:t>Tempo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830623"/>
        <c:crosses val="autoZero"/>
        <c:auto val="1"/>
        <c:lblAlgn val="ctr"/>
        <c:lblOffset val="100"/>
        <c:noMultiLvlLbl val="0"/>
      </c:catAx>
      <c:valAx>
        <c:axId val="5318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densidade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83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densidade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4.4000000000000004</c:v>
                </c:pt>
                <c:pt idx="1">
                  <c:v>8.9</c:v>
                </c:pt>
                <c:pt idx="2">
                  <c:v>13.5</c:v>
                </c:pt>
                <c:pt idx="3">
                  <c:v>16.399999999999999</c:v>
                </c:pt>
                <c:pt idx="4">
                  <c:v>19.7</c:v>
                </c:pt>
                <c:pt idx="5">
                  <c:v>25.8</c:v>
                </c:pt>
                <c:pt idx="6">
                  <c:v>35.9</c:v>
                </c:pt>
                <c:pt idx="7">
                  <c:v>46.6</c:v>
                </c:pt>
                <c:pt idx="8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E-49C8-BFDC-E374A2A726E9}"/>
            </c:ext>
          </c:extLst>
        </c:ser>
        <c:ser>
          <c:idx val="1"/>
          <c:order val="1"/>
          <c:tx>
            <c:v>média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24.93333333333333</c:v>
                </c:pt>
                <c:pt idx="1">
                  <c:v>24.93333333333333</c:v>
                </c:pt>
                <c:pt idx="2">
                  <c:v>24.93333333333333</c:v>
                </c:pt>
                <c:pt idx="3">
                  <c:v>24.93333333333333</c:v>
                </c:pt>
                <c:pt idx="4">
                  <c:v>24.93333333333333</c:v>
                </c:pt>
                <c:pt idx="5">
                  <c:v>24.93333333333333</c:v>
                </c:pt>
                <c:pt idx="6">
                  <c:v>24.93333333333333</c:v>
                </c:pt>
                <c:pt idx="7">
                  <c:v>24.93333333333333</c:v>
                </c:pt>
                <c:pt idx="8">
                  <c:v>24.93333333333333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E-49C8-BFDC-E374A2A7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93183"/>
        <c:axId val="1054692351"/>
      </c:lineChart>
      <c:catAx>
        <c:axId val="105469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4692351"/>
        <c:crosses val="autoZero"/>
        <c:auto val="1"/>
        <c:lblAlgn val="ctr"/>
        <c:lblOffset val="100"/>
        <c:noMultiLvlLbl val="0"/>
      </c:catAx>
      <c:valAx>
        <c:axId val="10546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densidade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469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74914</xdr:colOff>
      <xdr:row>2</xdr:row>
      <xdr:rowOff>28575</xdr:rowOff>
    </xdr:from>
    <xdr:to>
      <xdr:col>19</xdr:col>
      <xdr:colOff>397283</xdr:colOff>
      <xdr:row>16</xdr:row>
      <xdr:rowOff>17859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0A235C3D-C3DA-4B51-95BB-6EF71DE6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60708" y="414724"/>
          <a:ext cx="5213585" cy="269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75944</xdr:colOff>
      <xdr:row>1</xdr:row>
      <xdr:rowOff>12098</xdr:rowOff>
    </xdr:from>
    <xdr:to>
      <xdr:col>15</xdr:col>
      <xdr:colOff>368130</xdr:colOff>
      <xdr:row>15</xdr:row>
      <xdr:rowOff>52257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BEFC0-A5D0-4965-9D3C-3F4D67B78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542925</xdr:colOff>
      <xdr:row>2</xdr:row>
      <xdr:rowOff>0</xdr:rowOff>
    </xdr:from>
    <xdr:to>
      <xdr:col>19</xdr:col>
      <xdr:colOff>253892</xdr:colOff>
      <xdr:row>15</xdr:row>
      <xdr:rowOff>179784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A1C7B39F-14F6-4E1E-B772-D11AEC354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38925" y="381000"/>
          <a:ext cx="5197367" cy="2656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428625</xdr:colOff>
      <xdr:row>17</xdr:row>
      <xdr:rowOff>185737</xdr:rowOff>
    </xdr:from>
    <xdr:to>
      <xdr:col>19</xdr:col>
      <xdr:colOff>123825</xdr:colOff>
      <xdr:row>32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AF773-95F8-418F-907A-F613517EB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010B-83E3-4AF4-842D-68F3820054DA}">
  <dimension ref="A1:G19"/>
  <sheetViews>
    <sheetView tabSelected="1" zoomScale="148" zoomScaleNormal="148" workbookViewId="0">
      <selection activeCell="E2" sqref="E2"/>
    </sheetView>
  </sheetViews>
  <sheetFormatPr defaultRowHeight="15" x14ac:dyDescent="0.25"/>
  <cols>
    <col min="1" max="2" width="9.85546875" customWidth="1"/>
    <col min="3" max="3" width="12.7109375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3</v>
      </c>
      <c r="E1" t="s">
        <v>5</v>
      </c>
      <c r="F1" t="s">
        <v>6</v>
      </c>
      <c r="G1" t="s">
        <v>7</v>
      </c>
    </row>
    <row r="2" spans="1:7" x14ac:dyDescent="0.25">
      <c r="A2">
        <v>1998</v>
      </c>
      <c r="B2">
        <v>1</v>
      </c>
      <c r="C2">
        <v>4.4000000000000004</v>
      </c>
      <c r="D2">
        <f>6.0417*B2-5.275</f>
        <v>0.76669999999999927</v>
      </c>
      <c r="E2">
        <f>C2-D2</f>
        <v>3.6333000000000011</v>
      </c>
      <c r="F2">
        <f>4.5752*EXP(0.289*B2)</f>
        <v>6.1083116763636314</v>
      </c>
      <c r="G2">
        <f>0.5354*B2^2+0.6878*B2+4.5405</f>
        <v>5.7637</v>
      </c>
    </row>
    <row r="3" spans="1:7" x14ac:dyDescent="0.25">
      <c r="A3">
        <v>1999</v>
      </c>
      <c r="B3">
        <v>2</v>
      </c>
      <c r="C3">
        <v>8.9</v>
      </c>
      <c r="D3">
        <f t="shared" ref="D3:D19" si="0">6.0417*B3-5.275</f>
        <v>6.8083999999999989</v>
      </c>
      <c r="E3">
        <f t="shared" ref="E3:E11" si="1">C3-D3</f>
        <v>2.0916000000000015</v>
      </c>
      <c r="F3">
        <f t="shared" ref="F3:F13" si="2">4.5752*EXP(0.289*B3)</f>
        <v>8.1551563943871912</v>
      </c>
      <c r="G3">
        <f t="shared" ref="G3:G14" si="3">0.5354*B3^2+0.6878*B3+4.5405</f>
        <v>8.0577000000000005</v>
      </c>
    </row>
    <row r="4" spans="1:7" x14ac:dyDescent="0.25">
      <c r="A4">
        <v>2000</v>
      </c>
      <c r="B4">
        <v>3</v>
      </c>
      <c r="C4">
        <v>13.5</v>
      </c>
      <c r="D4">
        <f t="shared" si="0"/>
        <v>12.850099999999999</v>
      </c>
      <c r="E4">
        <f t="shared" si="1"/>
        <v>0.64990000000000059</v>
      </c>
      <c r="F4">
        <f t="shared" si="2"/>
        <v>10.887881847002713</v>
      </c>
      <c r="G4">
        <f t="shared" si="3"/>
        <v>11.422499999999999</v>
      </c>
    </row>
    <row r="5" spans="1:7" x14ac:dyDescent="0.25">
      <c r="A5">
        <v>2001</v>
      </c>
      <c r="B5">
        <v>4</v>
      </c>
      <c r="C5">
        <v>16.399999999999999</v>
      </c>
      <c r="D5">
        <f t="shared" si="0"/>
        <v>18.891799999999996</v>
      </c>
      <c r="E5">
        <f t="shared" si="1"/>
        <v>-2.4917999999999978</v>
      </c>
      <c r="F5">
        <f t="shared" si="2"/>
        <v>14.536320995129021</v>
      </c>
      <c r="G5">
        <f t="shared" si="3"/>
        <v>15.858099999999999</v>
      </c>
    </row>
    <row r="6" spans="1:7" x14ac:dyDescent="0.25">
      <c r="A6">
        <v>2002</v>
      </c>
      <c r="B6">
        <v>5</v>
      </c>
      <c r="C6">
        <v>19.7</v>
      </c>
      <c r="D6">
        <f t="shared" si="0"/>
        <v>24.933499999999995</v>
      </c>
      <c r="E6">
        <f t="shared" si="1"/>
        <v>-5.2334999999999958</v>
      </c>
      <c r="F6">
        <f t="shared" si="2"/>
        <v>19.40732192383205</v>
      </c>
      <c r="G6">
        <f t="shared" si="3"/>
        <v>21.3645</v>
      </c>
    </row>
    <row r="7" spans="1:7" x14ac:dyDescent="0.25">
      <c r="A7">
        <v>2003</v>
      </c>
      <c r="B7">
        <v>6</v>
      </c>
      <c r="C7">
        <v>25.8</v>
      </c>
      <c r="D7">
        <f t="shared" si="0"/>
        <v>30.975200000000001</v>
      </c>
      <c r="E7">
        <f t="shared" si="1"/>
        <v>-5.1752000000000002</v>
      </c>
      <c r="F7">
        <f t="shared" si="2"/>
        <v>25.910554973398153</v>
      </c>
      <c r="G7">
        <f t="shared" si="3"/>
        <v>27.941699999999997</v>
      </c>
    </row>
    <row r="8" spans="1:7" x14ac:dyDescent="0.25">
      <c r="A8">
        <v>2004</v>
      </c>
      <c r="B8">
        <v>7</v>
      </c>
      <c r="C8">
        <v>35.9</v>
      </c>
      <c r="D8">
        <f t="shared" si="0"/>
        <v>37.0169</v>
      </c>
      <c r="E8">
        <f t="shared" si="1"/>
        <v>-1.1169000000000011</v>
      </c>
      <c r="F8">
        <f t="shared" si="2"/>
        <v>34.592967626567066</v>
      </c>
      <c r="G8">
        <f t="shared" si="3"/>
        <v>35.589700000000001</v>
      </c>
    </row>
    <row r="9" spans="1:7" x14ac:dyDescent="0.25">
      <c r="A9">
        <v>2005</v>
      </c>
      <c r="B9">
        <v>8</v>
      </c>
      <c r="C9">
        <v>46.6</v>
      </c>
      <c r="D9">
        <f t="shared" si="0"/>
        <v>43.058599999999998</v>
      </c>
      <c r="E9">
        <f t="shared" si="1"/>
        <v>3.541400000000003</v>
      </c>
      <c r="F9">
        <f t="shared" si="2"/>
        <v>46.184784943484168</v>
      </c>
      <c r="G9">
        <f t="shared" si="3"/>
        <v>44.308500000000002</v>
      </c>
    </row>
    <row r="10" spans="1:7" x14ac:dyDescent="0.25">
      <c r="A10">
        <v>2006</v>
      </c>
      <c r="B10">
        <v>9</v>
      </c>
      <c r="C10">
        <v>53.2</v>
      </c>
      <c r="D10">
        <f t="shared" si="0"/>
        <v>49.100299999999997</v>
      </c>
      <c r="E10">
        <f t="shared" si="1"/>
        <v>4.0997000000000057</v>
      </c>
      <c r="F10">
        <f t="shared" si="2"/>
        <v>61.660924361913715</v>
      </c>
      <c r="G10">
        <f t="shared" si="3"/>
        <v>54.098099999999995</v>
      </c>
    </row>
    <row r="11" spans="1:7" x14ac:dyDescent="0.25">
      <c r="A11" t="s">
        <v>8</v>
      </c>
      <c r="B11">
        <v>10</v>
      </c>
      <c r="C11" s="2">
        <v>60.4</v>
      </c>
      <c r="D11" s="1">
        <f t="shared" si="0"/>
        <v>55.141999999999996</v>
      </c>
      <c r="E11">
        <f t="shared" si="1"/>
        <v>5.2580000000000027</v>
      </c>
      <c r="F11" s="1">
        <f t="shared" si="2"/>
        <v>82.322990089012961</v>
      </c>
      <c r="G11" s="1">
        <f t="shared" si="3"/>
        <v>64.958500000000001</v>
      </c>
    </row>
    <row r="12" spans="1:7" x14ac:dyDescent="0.25">
      <c r="A12">
        <v>2008</v>
      </c>
      <c r="B12">
        <v>11</v>
      </c>
      <c r="D12" s="1">
        <f t="shared" si="0"/>
        <v>61.183699999999995</v>
      </c>
      <c r="F12" s="1">
        <f t="shared" si="2"/>
        <v>109.90874313557561</v>
      </c>
      <c r="G12" s="1">
        <f t="shared" si="3"/>
        <v>76.889699999999991</v>
      </c>
    </row>
    <row r="13" spans="1:7" x14ac:dyDescent="0.25">
      <c r="A13">
        <v>2009</v>
      </c>
      <c r="B13">
        <v>12</v>
      </c>
      <c r="D13" s="1">
        <f t="shared" si="0"/>
        <v>67.225399999999993</v>
      </c>
      <c r="G13" s="1">
        <f t="shared" si="3"/>
        <v>89.8917</v>
      </c>
    </row>
    <row r="14" spans="1:7" x14ac:dyDescent="0.25">
      <c r="A14">
        <v>2010</v>
      </c>
      <c r="B14">
        <v>13</v>
      </c>
      <c r="D14" s="1">
        <f t="shared" si="0"/>
        <v>73.267099999999985</v>
      </c>
      <c r="G14" s="1">
        <f t="shared" si="3"/>
        <v>103.96449999999999</v>
      </c>
    </row>
    <row r="15" spans="1:7" x14ac:dyDescent="0.25">
      <c r="A15">
        <v>2011</v>
      </c>
      <c r="B15">
        <v>14</v>
      </c>
      <c r="D15" s="1">
        <f t="shared" si="0"/>
        <v>79.308799999999991</v>
      </c>
    </row>
    <row r="16" spans="1:7" x14ac:dyDescent="0.25">
      <c r="A16">
        <v>2012</v>
      </c>
      <c r="B16">
        <v>15</v>
      </c>
      <c r="D16" s="1">
        <f t="shared" si="0"/>
        <v>85.350499999999982</v>
      </c>
    </row>
    <row r="17" spans="1:4" x14ac:dyDescent="0.25">
      <c r="A17">
        <v>2013</v>
      </c>
      <c r="B17">
        <v>16</v>
      </c>
      <c r="D17" s="1">
        <f t="shared" si="0"/>
        <v>91.392199999999988</v>
      </c>
    </row>
    <row r="18" spans="1:4" x14ac:dyDescent="0.25">
      <c r="A18">
        <v>2014</v>
      </c>
      <c r="B18">
        <v>17</v>
      </c>
      <c r="D18" s="1">
        <f t="shared" si="0"/>
        <v>97.433899999999994</v>
      </c>
    </row>
    <row r="19" spans="1:4" x14ac:dyDescent="0.25">
      <c r="A19">
        <v>2015</v>
      </c>
      <c r="B19">
        <v>18</v>
      </c>
      <c r="D19" s="1">
        <f t="shared" si="0"/>
        <v>103.47559999999999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DCCE-031A-4A56-A3D0-229D226F2445}">
  <dimension ref="A1:C10"/>
  <sheetViews>
    <sheetView topLeftCell="J1" zoomScale="136" zoomScaleNormal="136" workbookViewId="0">
      <selection activeCell="J20" sqref="J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1998</v>
      </c>
      <c r="B2">
        <v>4.4000000000000004</v>
      </c>
      <c r="C2">
        <v>24.93333333333333</v>
      </c>
    </row>
    <row r="3" spans="1:3" x14ac:dyDescent="0.25">
      <c r="A3">
        <v>1999</v>
      </c>
      <c r="B3">
        <v>8.9</v>
      </c>
      <c r="C3">
        <v>24.93333333333333</v>
      </c>
    </row>
    <row r="4" spans="1:3" x14ac:dyDescent="0.25">
      <c r="A4">
        <v>2000</v>
      </c>
      <c r="B4">
        <v>13.5</v>
      </c>
      <c r="C4">
        <v>24.93333333333333</v>
      </c>
    </row>
    <row r="5" spans="1:3" x14ac:dyDescent="0.25">
      <c r="A5">
        <v>2001</v>
      </c>
      <c r="B5">
        <v>16.399999999999999</v>
      </c>
      <c r="C5">
        <v>24.93333333333333</v>
      </c>
    </row>
    <row r="6" spans="1:3" x14ac:dyDescent="0.25">
      <c r="A6">
        <v>2002</v>
      </c>
      <c r="B6">
        <v>19.7</v>
      </c>
      <c r="C6">
        <v>24.93333333333333</v>
      </c>
    </row>
    <row r="7" spans="1:3" x14ac:dyDescent="0.25">
      <c r="A7">
        <v>2003</v>
      </c>
      <c r="B7">
        <v>25.8</v>
      </c>
      <c r="C7">
        <v>24.93333333333333</v>
      </c>
    </row>
    <row r="8" spans="1:3" x14ac:dyDescent="0.25">
      <c r="A8">
        <v>2004</v>
      </c>
      <c r="B8">
        <v>35.9</v>
      </c>
      <c r="C8">
        <v>24.93333333333333</v>
      </c>
    </row>
    <row r="9" spans="1:3" x14ac:dyDescent="0.25">
      <c r="A9">
        <v>2005</v>
      </c>
      <c r="B9">
        <v>46.6</v>
      </c>
      <c r="C9">
        <v>24.93333333333333</v>
      </c>
    </row>
    <row r="10" spans="1:3" x14ac:dyDescent="0.25">
      <c r="A10">
        <v>2006</v>
      </c>
      <c r="B10">
        <v>53.2</v>
      </c>
      <c r="C10">
        <v>24.93333333333333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2026-03-23T21:16:56Z</dcterms:created>
  <dcterms:modified xsi:type="dcterms:W3CDTF">2026-03-23T23:03:32Z</dcterms:modified>
</cp:coreProperties>
</file>