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rgillonline-my.sharepoint.com/personal/cristian_mota_cargill_com/Documents/Documents/FIAP/Aulas 2023/Engenharia de Dados - 2ABDR/"/>
    </mc:Choice>
  </mc:AlternateContent>
  <xr:revisionPtr revIDLastSave="3" documentId="8_{5773B849-15FA-46D1-BEAF-06534C8C3397}" xr6:coauthVersionLast="47" xr6:coauthVersionMax="47" xr10:uidLastSave="{13EFBF0A-98C2-4C09-8CDF-3B90FB333B02}"/>
  <bookViews>
    <workbookView xWindow="-110" yWindow="-110" windowWidth="19420" windowHeight="10420" xr2:uid="{00000000-000D-0000-FFFF-FFFF00000000}"/>
  </bookViews>
  <sheets>
    <sheet name="Versão em Portugu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4" i="2" l="1"/>
  <c r="J34" i="2"/>
  <c r="K27" i="2"/>
  <c r="J27" i="2"/>
  <c r="K20" i="2"/>
  <c r="J20" i="2"/>
  <c r="C15" i="2"/>
  <c r="C16" i="2" s="1"/>
  <c r="C17" i="2" s="1"/>
  <c r="C18" i="2" s="1"/>
  <c r="C19" i="2" s="1"/>
  <c r="C21" i="2" s="1"/>
  <c r="C22" i="2" s="1"/>
  <c r="C23" i="2" s="1"/>
  <c r="C24" i="2" s="1"/>
  <c r="C25" i="2" s="1"/>
  <c r="C26" i="2" s="1"/>
  <c r="C28" i="2" s="1"/>
  <c r="C29" i="2" s="1"/>
  <c r="C30" i="2" s="1"/>
  <c r="C31" i="2" s="1"/>
  <c r="C32" i="2" s="1"/>
  <c r="C33" i="2" s="1"/>
  <c r="C35" i="2" s="1"/>
  <c r="C36" i="2" s="1"/>
  <c r="C37" i="2" s="1"/>
  <c r="C38" i="2" s="1"/>
  <c r="C39" i="2" s="1"/>
  <c r="C40" i="2" s="1"/>
  <c r="K13" i="2"/>
  <c r="J13" i="2"/>
  <c r="K10" i="2"/>
  <c r="J10" i="2"/>
  <c r="K9" i="2"/>
  <c r="J9" i="2"/>
</calcChain>
</file>

<file path=xl/sharedStrings.xml><?xml version="1.0" encoding="utf-8"?>
<sst xmlns="http://schemas.openxmlformats.org/spreadsheetml/2006/main" count="178" uniqueCount="162">
  <si>
    <t>Owners of the Data (Accountability)</t>
  </si>
  <si>
    <t>Data Governance Stewardship</t>
  </si>
  <si>
    <t>Data Quality Stewardship</t>
  </si>
  <si>
    <t>Master Data Stewardship</t>
  </si>
  <si>
    <t>Data</t>
  </si>
  <si>
    <t>Data Standards</t>
  </si>
  <si>
    <t>Ferramenta para avaliar nível de Maturidade da Governança de Dados</t>
  </si>
  <si>
    <t>Ctaegoria</t>
  </si>
  <si>
    <t>Dimensão</t>
  </si>
  <si>
    <t>Questão</t>
  </si>
  <si>
    <t>Estágio 1</t>
  </si>
  <si>
    <t>Mínimo</t>
  </si>
  <si>
    <t>Estágio 2</t>
  </si>
  <si>
    <t>Estágio 3</t>
  </si>
  <si>
    <t>Em prática</t>
  </si>
  <si>
    <t>Estágio 4</t>
  </si>
  <si>
    <t>Modelo</t>
  </si>
  <si>
    <t>Cenário Desejado</t>
  </si>
  <si>
    <t>Nota</t>
  </si>
  <si>
    <t>Maturidade da Governança de Dados</t>
  </si>
  <si>
    <t>Governança de Dados</t>
  </si>
  <si>
    <t>Visão Estratégica</t>
  </si>
  <si>
    <t>A sua empresa tem uma visão, missão e business case/escopo de Governança de Dados definidos?</t>
  </si>
  <si>
    <t>Falta de uma visão para governar os dados para dar suporte às necessidades de negócios atuais e futuras</t>
  </si>
  <si>
    <t>Há uma consciência da necessidade da estratégia de Governança de Dados no nível corporativo, no entanto, os planos de Governança de Dados foram implementados de forma tática apenas</t>
  </si>
  <si>
    <t>Existe uma declaração de visão bem formalizada que transmite a intenção da organização de abordar a Governança de Dados</t>
  </si>
  <si>
    <t>Existe uma declaração formalizada e uma carta / escopo do programa que foi revisado e aprovado pela liderança executiva que transmite a visão da organização sobre Governança de Dados</t>
  </si>
  <si>
    <t>Ceário              Atual</t>
  </si>
  <si>
    <t>Qual é o nível de conhecimento e adoção da Governança de Dados?</t>
  </si>
  <si>
    <t>Conscientização (conhecimento sobre) e Adoção (Gestão de Mudanças)</t>
  </si>
  <si>
    <t>Sem conscientização/conhecimento</t>
  </si>
  <si>
    <t>Conscientização/conhecimento e adoção limitados</t>
  </si>
  <si>
    <t>Conscientização/conhecimento e adoção pelas funções críticas de negócios, processos e aplicativos</t>
  </si>
  <si>
    <t>Conscientização/conhecimento e adoção em todos os níveis, desde o patrocínio até as equipes de execução, em todas as funções de negócios, processos e aplicativos</t>
  </si>
  <si>
    <t>Existe um patrocinador executivo para o programa de Governança de Dados?</t>
  </si>
  <si>
    <t>Patrocício da Liderança Executiva</t>
  </si>
  <si>
    <t>Sem patrocinador executivo</t>
  </si>
  <si>
    <t>Patrocínio nas unidades de negócio.</t>
  </si>
  <si>
    <t xml:space="preserve">Apoio apenas no nível de função do negócio (Ex.: em Finanças, Mkt etc.) </t>
  </si>
  <si>
    <t>Patrocínio executivo em toda a empresa, globalmente.</t>
  </si>
  <si>
    <t>Quem assume a responsabilidade geral pelos dados nos sistemas corporativos/de negócios?</t>
  </si>
  <si>
    <t>Apenas alguns donos de dados foram nomeados. Um por unidade local.</t>
  </si>
  <si>
    <t>Nenhum dono formal de dados reconhecido</t>
  </si>
  <si>
    <t>Os donos dos dados foram nomeados para cada unidade de negócios</t>
  </si>
  <si>
    <t>Os donos dos dados foram reconhecidos em toda empresa, incluindo representantes de TI e dos negócios</t>
  </si>
  <si>
    <t>Em que nível de gerenciamento a Governança de Dados está ocorrendo em torno de seus dados?</t>
  </si>
  <si>
    <t>Sem um "dono" formal - problemas tratados conforme identificados e corrigidos pela TI ou pelos usuários</t>
  </si>
  <si>
    <t>Alguns donos dos dados foram nomeados. A maioria está no nível do aplicações (sistemas)/processo</t>
  </si>
  <si>
    <t>A Liderança Senior/Executiva revisa ativamente o programa e o progresso - os níveis locais realizam atividades</t>
  </si>
  <si>
    <t>A Governança de Dados é gerenciada em todos os níveis da organização e entre as funções. As metas são definidas e o progresso medido</t>
  </si>
  <si>
    <t>Existe um órgão regulador que atualiza periodicamente os processos e políticas de Governança de Dados que dão suporte aos seus dados?</t>
  </si>
  <si>
    <t>Nenhum comitê formal disponível</t>
  </si>
  <si>
    <t>O comitê de governança de dados existe em nível de unidade local</t>
  </si>
  <si>
    <t>A organização de Governança de Dados é formada para gerenciar processos em todas as unidades de negócios</t>
  </si>
  <si>
    <t>A organização de Governança de Dados de nível global existe para atualizar processos e políticas em toda a empresa</t>
  </si>
  <si>
    <t>Existe uma equipe dedicada para gerenciar, monitorar e controlar a qualidade dos dados?</t>
  </si>
  <si>
    <t>Não existe uma equipe de qualidade de dados separada</t>
  </si>
  <si>
    <t>A equipe de TI local lida com a manutenção da qualidade dos dados nos sistemas locais</t>
  </si>
  <si>
    <t>Equipes de Data Quality em cada unidade de negócios reportando-se a uma equipe de DQ centralizada em nível empresarial</t>
  </si>
  <si>
    <t>Equipe de Data Quality centralizada para gerenciar atividades de qualidade de dados em várias unidades de negócios</t>
  </si>
  <si>
    <t>Quem rastreia as alterações feitas nos dados mestre?</t>
  </si>
  <si>
    <t>O rastreamento mínimo é feito - atividades realizadas pelos usuários do aplicativo</t>
  </si>
  <si>
    <t>As alterações nos dados mestre são rastreadas e documentadas no nível do aplicativo ou da unidade de negócios</t>
  </si>
  <si>
    <t>As alterações nos dados mestres são feitas pela equipe de MDM centralizada nas unidades de negócios</t>
  </si>
  <si>
    <t>Uma equipe global de Community of Practice aprova/trata quaisquer alterações nos dados mestre. O mais alto nível de padrões de controle de versão são usados</t>
  </si>
  <si>
    <t>Pessoas (People)</t>
  </si>
  <si>
    <t>Estratégia (Strategy)</t>
  </si>
  <si>
    <t>Processos (Processes)</t>
  </si>
  <si>
    <t>Padronização dos Processos de Governança de Dados</t>
  </si>
  <si>
    <t>Que tipo de processos de operações de governança de dados estão em vigor para seus dados e qual é o nível de padronização?</t>
  </si>
  <si>
    <t>Processos de governança limitados - problemas de dados abordados aleatoriamente conforme identificados</t>
  </si>
  <si>
    <t>Existem processos e políticas de governança para funções críticas de negócios nos níveis da empresa e da unidade de negócios. Nada está em vigor para aplicações departamentais</t>
  </si>
  <si>
    <t>As políticas e processos padrão de governança de dados são implementados em toda a empresa</t>
  </si>
  <si>
    <t>Todos na empresa têm acesso a políticas e procedimentos claramente estabelecidos e bem documentados que são implementados para todos os níveis de dados</t>
  </si>
  <si>
    <t>Padronização dos processos de Governança de Dados</t>
  </si>
  <si>
    <t>Os requisitos de dados não são abordados adequadamente em projetos em qualquer nível</t>
  </si>
  <si>
    <t>Requisitos de dados abordados de forma reativa dentro de cada projeto</t>
  </si>
  <si>
    <t>Existem "Gates" estabelecidos nos projetos para avaliar se os requisitos pelo lado de dados serão implementados?</t>
  </si>
  <si>
    <t>Grandes projetos seguem uma estrutura de gerenciamento de dados estabelecida</t>
  </si>
  <si>
    <t>Todos os projetos de negócios e TI são revisados por um comitê executivo de dados</t>
  </si>
  <si>
    <t>Padronização dos Processos de Governança do Gerenciamento de Qualidade de Dados</t>
  </si>
  <si>
    <t>Que tipo de processos de gerenciamento de qualidade de dados estão em vigor para seus dados e qual é o nível de padronização?</t>
  </si>
  <si>
    <t>As políticas e processos padrão de governança de dados são implementados em toda a unidade de negócios</t>
  </si>
  <si>
    <t>Padronização dos Processos de Gerenciamento de Operações de Dados</t>
  </si>
  <si>
    <t>Que tipo de processos de operações de dados estão em vigor para seus dados e qual é o nível de padronização?</t>
  </si>
  <si>
    <t>Que tipo de processos de gerenciamento de dados mestres estão em vigor para seus dados e qual é o nível de padronização?</t>
  </si>
  <si>
    <t>Métricas e medidas de sucesso</t>
  </si>
  <si>
    <t>Como os processos de Governança de Dados estão sendo medidos e rastreados?</t>
  </si>
  <si>
    <t>Não existe um conjunto padrão de métricas para medição de sucesso</t>
  </si>
  <si>
    <t>Métricas limitadas estão disponíveis e rastreadas para os principais aplicativos corporativos</t>
  </si>
  <si>
    <t>As medidas padrão são criadas em várias unidades/funções de negócios</t>
  </si>
  <si>
    <t>Painéis e métricas padrão estão em vigor em nível global e detalham para níveis regionais e locais</t>
  </si>
  <si>
    <t>Confiança dos Usuários Finais nos Dados</t>
  </si>
  <si>
    <t>Todos os usuários finais confiam na qualidade dos dados nos sistemas?</t>
  </si>
  <si>
    <t>Os usuários realizam verificações de qualidade por conta própria antes de usar os dados</t>
  </si>
  <si>
    <t>Dados consistentes e precisos acessíveis aos usuários finais 24 horas por dia, 7 dias por semana no nível da empresa e da unidade de negócios</t>
  </si>
  <si>
    <t>Dados oportunos e precisos disponíveis em um portal centralizado da empresa e acessíveis aos usuários finais em toda a empresa</t>
  </si>
  <si>
    <t>Como as métricas de qualidade de dados são medidas e rastreadas?</t>
  </si>
  <si>
    <t>Métricas limitadas estão disponíveis no nível do aplicativo e do sistema, como por meio de relatórios baseados em transações</t>
  </si>
  <si>
    <t>As métricas padrão são rastreadas e o progresso é comunicado em várias unidades/funções de negócios</t>
  </si>
  <si>
    <t>Painéis e medições padrões implementados em nível empresarial para acompanhar a qualidade dos dados</t>
  </si>
  <si>
    <t>Sistema de Registro</t>
  </si>
  <si>
    <t>O sistema de registros para atributos de dados-chave está identificado?</t>
  </si>
  <si>
    <t>Nenhum sistema de registros identificado</t>
  </si>
  <si>
    <t>Divergências em relação a alguns dos sistemas de registros</t>
  </si>
  <si>
    <t>O sistema de registros é identificado e há concordância entre as funções de negócios</t>
  </si>
  <si>
    <t>O sistema de registros é padronizado e acordado no nível da empresa</t>
  </si>
  <si>
    <t>Gerenciamento de hierarquia</t>
  </si>
  <si>
    <t>Como é feito o gerenciamento da hierarquia?</t>
  </si>
  <si>
    <t xml:space="preserve">Nenhum </t>
  </si>
  <si>
    <t>Existem hierarquias temporárias ou de propósito especial</t>
  </si>
  <si>
    <t>Existe gerenciamento de hierarquia específica da unidade de negócios</t>
  </si>
  <si>
    <t>Gerenciamento de hierarquia em escala total de implementação no nível corporativo</t>
  </si>
  <si>
    <t>Existem padrões de dados comerciais e técnicos definidos e mantidos para entrada de dados e para transformações adicionais, à medida que os dados fluem do sistema de origem para relatórios e análises ou outros sistemas?</t>
  </si>
  <si>
    <t>Nenhum. A entrada de dados é propensa a erros manuais</t>
  </si>
  <si>
    <t>Validação de entrada de dados padrão em níveis de aplicativo</t>
  </si>
  <si>
    <t>Padrões de dados técnicos e de negócios foram implementados em todas as unidades e funções de negócios</t>
  </si>
  <si>
    <t>Padrões de dados comerciais e técnicos foram implementados em nível empresarial. A equipe de qualidade de dados realiza sessões de treinamento periódicas</t>
  </si>
  <si>
    <t>Outros Padrões Técnicos</t>
  </si>
  <si>
    <t>Outros padrões técnicos são definidos e mantidos? (ou seja, metadados/modelagem de dados/ferramentas)</t>
  </si>
  <si>
    <t>Nenhum outro padrão definido</t>
  </si>
  <si>
    <t>Alguns outros padrões são definidos</t>
  </si>
  <si>
    <t>Todos os padrões técnicos da unidade de negócios e implementados na unidade de negócios</t>
  </si>
  <si>
    <t>Todos os padrões técnicos são definidos e implementados em nível empresarial</t>
  </si>
  <si>
    <t>Tecnologia (Technology)</t>
  </si>
  <si>
    <t>Ferramentas e tecnologias de gerenciamento de solicitações</t>
  </si>
  <si>
    <t>Quais ferramentas e tecnologias estão em vigor para rastrear e relatar problemas de governança de dados?</t>
  </si>
  <si>
    <t>Nenhum processo de rastreamento/relatório em vigor</t>
  </si>
  <si>
    <t>As ferramentas de fluxo de trabalho são usadas para rastrear problemas de governança de dados em um nível de aplicativo corporativo</t>
  </si>
  <si>
    <t>As ferramentas de fluxo de trabalho são usadas para rastrear problemas de governança de dados nos níveis corporativo e de unidade de negócios</t>
  </si>
  <si>
    <t>Ferramentas de fluxo de trabalho e relatórios estão disponíveis para rastrear o fluxo de trabalho do processo e relatórios em todos os níveis</t>
  </si>
  <si>
    <t>Ferramentas e Tecnologias de Operações de Governança de Dados</t>
  </si>
  <si>
    <t xml:space="preserve">Quais ferramentas e tecnologias estão em vigor para dar suporte à propriedade e administração de dados?
</t>
  </si>
  <si>
    <t>Nenhuma ferramenta</t>
  </si>
  <si>
    <t>Suporte limitado para propriedade e administração de dados</t>
  </si>
  <si>
    <t>Suporte total para propriedade e administração de dados no nível da unidade de negócios</t>
  </si>
  <si>
    <t>Ferramenta corporativa com capacidade de integração com ferramentas de metadados e ferramentas de monitoramento de qualidade de dados</t>
  </si>
  <si>
    <t>Ferramentas e tecnologias de padrões de dados</t>
  </si>
  <si>
    <t>Quais ferramentas e tecnologias estão em vigor para gerenciar padrões de dados?</t>
  </si>
  <si>
    <t>Glossários de negócios e dicionários de dados</t>
  </si>
  <si>
    <t>Ferramentas de metadados são usadas para alguns padrões</t>
  </si>
  <si>
    <t>As ferramentas de dados são usadas para todos os padrões de dados comerciais e técnicos, desde o ponto de entrada ou ponto de consumo</t>
  </si>
  <si>
    <t>Arquitetura de qualidade de dados</t>
  </si>
  <si>
    <t>A empresa possui arquitetura DQ padrão implementada?</t>
  </si>
  <si>
    <t>Nenhuma arquitetura de dados padrão em vigor</t>
  </si>
  <si>
    <t>Perfil e limpeza de dados estabelecidos para funções críticas com o uso de ferramentas DQ</t>
  </si>
  <si>
    <t>Cada unidade de negócios tem sua arquitetura DQ separada.</t>
  </si>
  <si>
    <t>Uma arquitetura corporativa multicamada foi implementada para alcançar o mais alto nível de qualidade de dados</t>
  </si>
  <si>
    <t>Ferramentas e tecnologias de monitoramento de qualidade de dados</t>
  </si>
  <si>
    <t>Quais ferramentas e tecnologias estão em vigor para monitorar e relatar a qualidade dos dados?</t>
  </si>
  <si>
    <t>Problemas de qualidade de dados nunca são capturados</t>
  </si>
  <si>
    <t>Relatórios baseados em transações capturam alguns problemas de qualidade de dados</t>
  </si>
  <si>
    <t>Relatórios ou consultas corporativas ad-hoc são usados para identificar lacunas de qualidade de dados</t>
  </si>
  <si>
    <t>Um conjunto de relatórios padrão problemas de qualidade de dados identificados por meio do uso regular</t>
  </si>
  <si>
    <t>Ferramentas e tecnologias de gerenciamento de dados mestres</t>
  </si>
  <si>
    <t>Quais ferramentas e tecnologias são usadas para o gerenciamento eficaz de dados mestre?</t>
  </si>
  <si>
    <t>Nenhuma infraestrutura de TI existe para dar suporte à integração de aplicativos</t>
  </si>
  <si>
    <t>Existem muitas conexões ponto a ponto, mas nenhuma padronização</t>
  </si>
  <si>
    <t>Arquitetura de dados harmonizada, orientada por SOA e padronizada que permite integração em escala total em sistemas corporativos</t>
  </si>
  <si>
    <t>Arquitetura de dados padronizada no nível da unidade de negócios que oferece suporte à agilidade e flexibilidade</t>
  </si>
  <si>
    <t>Começando</t>
  </si>
  <si>
    <t>Dados consistentes e precisos disponíveis para funções críticas de negócios.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</si>
</sst>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8"/>
      <color indexed="9"/>
      <name val="Arial"/>
      <family val="2"/>
    </font>
    <font>
      <sz val="10"/>
      <color indexed="8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b/>
      <sz val="14"/>
      <color indexed="9"/>
      <name val="Arial"/>
      <family val="2"/>
    </font>
    <font>
      <b/>
      <sz val="10"/>
      <color indexed="8"/>
      <name val="Arial"/>
      <family val="2"/>
    </font>
    <font>
      <i/>
      <sz val="10"/>
      <color indexed="9"/>
      <name val="Arial"/>
      <family val="2"/>
    </font>
    <font>
      <i/>
      <sz val="10"/>
      <color indexed="8"/>
      <name val="Arial"/>
      <family val="2"/>
    </font>
    <font>
      <b/>
      <sz val="16"/>
      <color theme="3" tint="-0.499984740745262"/>
      <name val="Arial"/>
      <family val="2"/>
    </font>
    <font>
      <b/>
      <sz val="14"/>
      <color indexed="8"/>
      <name val="Arial"/>
      <family val="2"/>
    </font>
    <font>
      <sz val="14"/>
      <color indexed="9"/>
      <name val="Arial"/>
      <family val="2"/>
    </font>
    <font>
      <sz val="14"/>
      <color indexed="8"/>
      <name val="Arial"/>
      <family val="2"/>
    </font>
    <font>
      <b/>
      <sz val="12"/>
      <color indexed="8"/>
      <name val="Arial"/>
      <family val="2"/>
    </font>
    <font>
      <sz val="12"/>
      <color indexed="9"/>
      <name val="Arial"/>
      <family val="2"/>
    </font>
    <font>
      <sz val="12"/>
      <color indexed="8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24"/>
      <color rgb="FFFFFF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ADAFAF"/>
        <bgColor indexed="64"/>
      </patternFill>
    </fill>
  </fills>
  <borders count="42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56"/>
      </left>
      <right/>
      <top style="thin">
        <color indexed="56"/>
      </top>
      <bottom style="medium">
        <color indexed="56"/>
      </bottom>
      <diagonal/>
    </border>
    <border>
      <left/>
      <right/>
      <top style="thin">
        <color indexed="56"/>
      </top>
      <bottom style="medium">
        <color indexed="56"/>
      </bottom>
      <diagonal/>
    </border>
    <border>
      <left style="thin">
        <color indexed="56"/>
      </left>
      <right style="thin">
        <color indexed="56"/>
      </right>
      <top style="thin">
        <color indexed="56"/>
      </top>
      <bottom style="medium">
        <color indexed="56"/>
      </bottom>
      <diagonal/>
    </border>
    <border>
      <left style="thin">
        <color indexed="56"/>
      </left>
      <right/>
      <top/>
      <bottom/>
      <diagonal/>
    </border>
    <border>
      <left style="thin">
        <color indexed="56"/>
      </left>
      <right/>
      <top/>
      <bottom style="thin">
        <color indexed="56"/>
      </bottom>
      <diagonal/>
    </border>
    <border>
      <left/>
      <right/>
      <top/>
      <bottom style="thin">
        <color indexed="56"/>
      </bottom>
      <diagonal/>
    </border>
    <border>
      <left/>
      <right/>
      <top style="medium">
        <color indexed="56"/>
      </top>
      <bottom style="thin">
        <color indexed="56"/>
      </bottom>
      <diagonal/>
    </border>
    <border>
      <left/>
      <right style="thin">
        <color indexed="56"/>
      </right>
      <top style="medium">
        <color indexed="56"/>
      </top>
      <bottom style="thin">
        <color indexed="56"/>
      </bottom>
      <diagonal/>
    </border>
    <border>
      <left style="thin">
        <color indexed="56"/>
      </left>
      <right style="thin">
        <color indexed="56"/>
      </right>
      <top/>
      <bottom style="thin">
        <color indexed="56"/>
      </bottom>
      <diagonal/>
    </border>
    <border>
      <left style="thin">
        <color indexed="56"/>
      </left>
      <right/>
      <top style="thin">
        <color indexed="56"/>
      </top>
      <bottom style="thin">
        <color indexed="56"/>
      </bottom>
      <diagonal/>
    </border>
    <border>
      <left/>
      <right style="thin">
        <color indexed="56"/>
      </right>
      <top style="thin">
        <color indexed="56"/>
      </top>
      <bottom style="thin">
        <color indexed="56"/>
      </bottom>
      <diagonal/>
    </border>
    <border>
      <left style="thin">
        <color theme="3" tint="-0.499984740745262"/>
      </left>
      <right style="thin">
        <color theme="3" tint="-0.499984740745262"/>
      </right>
      <top style="thin">
        <color theme="3" tint="-0.499984740745262"/>
      </top>
      <bottom style="thin">
        <color theme="3" tint="-0.499984740745262"/>
      </bottom>
      <diagonal/>
    </border>
    <border>
      <left/>
      <right/>
      <top style="thin">
        <color theme="3" tint="-0.499984740745262"/>
      </top>
      <bottom style="thin">
        <color theme="3" tint="-0.499984740745262"/>
      </bottom>
      <diagonal/>
    </border>
    <border>
      <left/>
      <right style="thin">
        <color theme="3" tint="-0.499984740745262"/>
      </right>
      <top style="thin">
        <color theme="3" tint="-0.499984740745262"/>
      </top>
      <bottom style="thin">
        <color theme="3" tint="-0.499984740745262"/>
      </bottom>
      <diagonal/>
    </border>
    <border>
      <left style="thin">
        <color indexed="56"/>
      </left>
      <right style="thin">
        <color indexed="56"/>
      </right>
      <top style="thin">
        <color indexed="56"/>
      </top>
      <bottom style="thin">
        <color indexed="56"/>
      </bottom>
      <diagonal/>
    </border>
    <border>
      <left/>
      <right/>
      <top style="thin">
        <color indexed="56"/>
      </top>
      <bottom style="thin">
        <color indexed="56"/>
      </bottom>
      <diagonal/>
    </border>
    <border>
      <left/>
      <right/>
      <top/>
      <bottom style="thin">
        <color theme="3" tint="-0.499984740745262"/>
      </bottom>
      <diagonal/>
    </border>
    <border>
      <left/>
      <right style="thin">
        <color theme="3" tint="-0.499984740745262"/>
      </right>
      <top/>
      <bottom style="thin">
        <color theme="3" tint="-0.499984740745262"/>
      </bottom>
      <diagonal/>
    </border>
    <border>
      <left/>
      <right style="thin">
        <color indexed="56"/>
      </right>
      <top/>
      <bottom style="thin">
        <color indexed="56"/>
      </bottom>
      <diagonal/>
    </border>
    <border>
      <left style="thin">
        <color indexed="64"/>
      </left>
      <right style="thin">
        <color indexed="56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56"/>
      </right>
      <top style="thin">
        <color indexed="56"/>
      </top>
      <bottom style="thin">
        <color indexed="8"/>
      </bottom>
      <diagonal/>
    </border>
    <border>
      <left style="thin">
        <color indexed="56"/>
      </left>
      <right style="thin">
        <color indexed="56"/>
      </right>
      <top style="thin">
        <color indexed="56"/>
      </top>
      <bottom style="thin">
        <color indexed="8"/>
      </bottom>
      <diagonal/>
    </border>
    <border>
      <left/>
      <right/>
      <top style="thin">
        <color indexed="56"/>
      </top>
      <bottom style="thin">
        <color indexed="8"/>
      </bottom>
      <diagonal/>
    </border>
    <border>
      <left/>
      <right style="thin">
        <color indexed="56"/>
      </right>
      <top style="thin">
        <color indexed="56"/>
      </top>
      <bottom/>
      <diagonal/>
    </border>
    <border>
      <left/>
      <right style="thin">
        <color indexed="56"/>
      </right>
      <top/>
      <bottom/>
      <diagonal/>
    </border>
    <border>
      <left style="thin">
        <color indexed="56"/>
      </left>
      <right style="thin">
        <color indexed="56"/>
      </right>
      <top style="thin">
        <color indexed="56"/>
      </top>
      <bottom/>
      <diagonal/>
    </border>
    <border>
      <left style="thin">
        <color indexed="56"/>
      </left>
      <right/>
      <top style="thin">
        <color indexed="56"/>
      </top>
      <bottom/>
      <diagonal/>
    </border>
    <border>
      <left/>
      <right/>
      <top style="thin">
        <color indexed="56"/>
      </top>
      <bottom/>
      <diagonal/>
    </border>
    <border>
      <left style="thin">
        <color indexed="56"/>
      </left>
      <right/>
      <top/>
      <bottom style="thin">
        <color indexed="64"/>
      </bottom>
      <diagonal/>
    </border>
    <border>
      <left style="thin">
        <color indexed="56"/>
      </left>
      <right/>
      <top style="thin">
        <color indexed="56"/>
      </top>
      <bottom style="thin">
        <color indexed="64"/>
      </bottom>
      <diagonal/>
    </border>
    <border>
      <left/>
      <right/>
      <top/>
      <bottom style="medium">
        <color indexed="56"/>
      </bottom>
      <diagonal/>
    </border>
    <border>
      <left/>
      <right style="thin">
        <color indexed="56"/>
      </right>
      <top style="thin">
        <color indexed="56"/>
      </top>
      <bottom style="thin">
        <color indexed="64"/>
      </bottom>
      <diagonal/>
    </border>
    <border>
      <left style="thin">
        <color indexed="56"/>
      </left>
      <right style="thin">
        <color indexed="56"/>
      </right>
      <top style="thin">
        <color indexed="56"/>
      </top>
      <bottom style="thin">
        <color indexed="64"/>
      </bottom>
      <diagonal/>
    </border>
    <border>
      <left/>
      <right/>
      <top style="thin">
        <color indexed="56"/>
      </top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3" borderId="0" xfId="0" applyFont="1" applyFill="1" applyBorder="1" applyAlignment="1">
      <alignment vertical="top"/>
    </xf>
    <xf numFmtId="0" fontId="3" fillId="2" borderId="0" xfId="0" applyFont="1" applyFill="1" applyBorder="1" applyAlignment="1">
      <alignment vertical="top"/>
    </xf>
    <xf numFmtId="0" fontId="3" fillId="2" borderId="0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/>
    </xf>
    <xf numFmtId="0" fontId="3" fillId="2" borderId="2" xfId="0" applyFont="1" applyFill="1" applyBorder="1" applyAlignment="1">
      <alignment horizontal="left" vertical="top"/>
    </xf>
    <xf numFmtId="0" fontId="3" fillId="2" borderId="2" xfId="0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top" wrapText="1"/>
    </xf>
    <xf numFmtId="0" fontId="6" fillId="3" borderId="0" xfId="0" applyFont="1" applyFill="1" applyBorder="1" applyAlignment="1">
      <alignment vertical="top"/>
    </xf>
    <xf numFmtId="0" fontId="3" fillId="2" borderId="5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left" vertical="top"/>
    </xf>
    <xf numFmtId="0" fontId="3" fillId="2" borderId="4" xfId="0" applyFont="1" applyFill="1" applyBorder="1" applyAlignment="1">
      <alignment vertical="top" wrapText="1"/>
    </xf>
    <xf numFmtId="0" fontId="7" fillId="2" borderId="5" xfId="0" applyFont="1" applyFill="1" applyBorder="1" applyAlignment="1">
      <alignment horizontal="center" vertical="top" wrapText="1"/>
    </xf>
    <xf numFmtId="0" fontId="7" fillId="2" borderId="0" xfId="0" applyFont="1" applyFill="1" applyBorder="1" applyAlignment="1">
      <alignment horizontal="center" vertical="top" wrapText="1"/>
    </xf>
    <xf numFmtId="0" fontId="8" fillId="3" borderId="0" xfId="0" applyFont="1" applyFill="1" applyBorder="1" applyAlignment="1">
      <alignment vertical="top" wrapText="1"/>
    </xf>
    <xf numFmtId="0" fontId="9" fillId="4" borderId="0" xfId="0" applyFont="1" applyFill="1" applyBorder="1" applyAlignment="1">
      <alignment vertical="center"/>
    </xf>
    <xf numFmtId="0" fontId="6" fillId="3" borderId="0" xfId="0" applyFont="1" applyFill="1" applyBorder="1" applyAlignment="1">
      <alignment horizontal="left" vertical="top"/>
    </xf>
    <xf numFmtId="0" fontId="2" fillId="3" borderId="0" xfId="0" applyFont="1" applyFill="1" applyBorder="1" applyAlignment="1">
      <alignment vertical="top" wrapText="1"/>
    </xf>
    <xf numFmtId="0" fontId="6" fillId="3" borderId="0" xfId="0" applyFont="1" applyFill="1" applyBorder="1" applyAlignment="1">
      <alignment vertical="top" wrapText="1"/>
    </xf>
    <xf numFmtId="0" fontId="6" fillId="3" borderId="0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vertical="top"/>
    </xf>
    <xf numFmtId="0" fontId="5" fillId="5" borderId="7" xfId="0" applyFont="1" applyFill="1" applyBorder="1" applyAlignment="1">
      <alignment vertical="top"/>
    </xf>
    <xf numFmtId="0" fontId="5" fillId="5" borderId="8" xfId="0" applyFont="1" applyFill="1" applyBorder="1" applyAlignment="1">
      <alignment horizontal="left" vertical="top"/>
    </xf>
    <xf numFmtId="0" fontId="11" fillId="5" borderId="8" xfId="0" applyFont="1" applyFill="1" applyBorder="1" applyAlignment="1">
      <alignment vertical="top" wrapText="1"/>
    </xf>
    <xf numFmtId="0" fontId="5" fillId="5" borderId="8" xfId="0" applyFont="1" applyFill="1" applyBorder="1" applyAlignment="1">
      <alignment vertical="top" wrapText="1"/>
    </xf>
    <xf numFmtId="2" fontId="1" fillId="5" borderId="9" xfId="0" applyNumberFormat="1" applyFont="1" applyFill="1" applyBorder="1" applyAlignment="1">
      <alignment horizontal="center" vertical="center"/>
    </xf>
    <xf numFmtId="0" fontId="12" fillId="3" borderId="0" xfId="0" applyFont="1" applyFill="1" applyBorder="1" applyAlignment="1">
      <alignment vertical="top" wrapText="1"/>
    </xf>
    <xf numFmtId="0" fontId="13" fillId="3" borderId="0" xfId="0" applyFont="1" applyFill="1" applyBorder="1" applyAlignment="1">
      <alignment vertical="top"/>
    </xf>
    <xf numFmtId="0" fontId="13" fillId="3" borderId="10" xfId="0" applyFont="1" applyFill="1" applyBorder="1" applyAlignment="1">
      <alignment vertical="top"/>
    </xf>
    <xf numFmtId="0" fontId="3" fillId="6" borderId="11" xfId="0" applyFont="1" applyFill="1" applyBorder="1" applyAlignment="1">
      <alignment horizontal="left" vertical="top"/>
    </xf>
    <xf numFmtId="0" fontId="14" fillId="6" borderId="12" xfId="0" applyFont="1" applyFill="1" applyBorder="1" applyAlignment="1">
      <alignment vertical="top" wrapText="1"/>
    </xf>
    <xf numFmtId="0" fontId="3" fillId="6" borderId="12" xfId="0" applyFont="1" applyFill="1" applyBorder="1" applyAlignment="1">
      <alignment vertical="top" wrapText="1"/>
    </xf>
    <xf numFmtId="0" fontId="14" fillId="6" borderId="13" xfId="0" applyFont="1" applyFill="1" applyBorder="1" applyAlignment="1">
      <alignment vertical="top" wrapText="1"/>
    </xf>
    <xf numFmtId="0" fontId="14" fillId="6" borderId="14" xfId="0" applyFont="1" applyFill="1" applyBorder="1" applyAlignment="1">
      <alignment vertical="top" wrapText="1"/>
    </xf>
    <xf numFmtId="2" fontId="5" fillId="6" borderId="15" xfId="0" applyNumberFormat="1" applyFont="1" applyFill="1" applyBorder="1" applyAlignment="1">
      <alignment horizontal="center" vertical="center"/>
    </xf>
    <xf numFmtId="0" fontId="15" fillId="3" borderId="0" xfId="0" applyFont="1" applyFill="1" applyBorder="1" applyAlignment="1">
      <alignment vertical="top" wrapText="1"/>
    </xf>
    <xf numFmtId="0" fontId="6" fillId="3" borderId="10" xfId="0" applyFont="1" applyFill="1" applyBorder="1" applyAlignment="1">
      <alignment vertical="top"/>
    </xf>
    <xf numFmtId="0" fontId="6" fillId="3" borderId="16" xfId="0" applyFont="1" applyFill="1" applyBorder="1" applyAlignment="1">
      <alignment horizontal="left" vertical="top"/>
    </xf>
    <xf numFmtId="0" fontId="2" fillId="3" borderId="17" xfId="0" applyFont="1" applyFill="1" applyBorder="1" applyAlignment="1">
      <alignment vertical="top" wrapText="1"/>
    </xf>
    <xf numFmtId="0" fontId="16" fillId="0" borderId="18" xfId="0" applyFont="1" applyFill="1" applyBorder="1" applyAlignment="1">
      <alignment vertical="top" wrapText="1"/>
    </xf>
    <xf numFmtId="0" fontId="17" fillId="4" borderId="19" xfId="0" applyFont="1" applyFill="1" applyBorder="1" applyAlignment="1">
      <alignment vertical="top" wrapText="1"/>
    </xf>
    <xf numFmtId="0" fontId="17" fillId="4" borderId="20" xfId="0" applyFont="1" applyFill="1" applyBorder="1" applyAlignment="1">
      <alignment vertical="top" wrapText="1"/>
    </xf>
    <xf numFmtId="0" fontId="10" fillId="3" borderId="21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vertical="top" wrapText="1"/>
    </xf>
    <xf numFmtId="0" fontId="2" fillId="4" borderId="22" xfId="0" applyFont="1" applyFill="1" applyBorder="1" applyAlignment="1">
      <alignment vertical="top" wrapText="1"/>
    </xf>
    <xf numFmtId="0" fontId="2" fillId="4" borderId="17" xfId="0" applyFont="1" applyFill="1" applyBorder="1" applyAlignment="1">
      <alignment vertical="top" wrapText="1"/>
    </xf>
    <xf numFmtId="0" fontId="6" fillId="3" borderId="21" xfId="0" applyFont="1" applyFill="1" applyBorder="1" applyAlignment="1">
      <alignment vertical="top" wrapText="1"/>
    </xf>
    <xf numFmtId="0" fontId="17" fillId="4" borderId="23" xfId="0" applyFont="1" applyFill="1" applyBorder="1" applyAlignment="1">
      <alignment vertical="top" wrapText="1"/>
    </xf>
    <xf numFmtId="0" fontId="17" fillId="4" borderId="24" xfId="0" applyFont="1" applyFill="1" applyBorder="1" applyAlignment="1">
      <alignment vertical="top" wrapText="1"/>
    </xf>
    <xf numFmtId="0" fontId="13" fillId="3" borderId="10" xfId="0" applyFont="1" applyFill="1" applyBorder="1" applyAlignment="1">
      <alignment vertical="top" wrapText="1"/>
    </xf>
    <xf numFmtId="0" fontId="3" fillId="6" borderId="16" xfId="0" applyFont="1" applyFill="1" applyBorder="1" applyAlignment="1">
      <alignment horizontal="left" vertical="top"/>
    </xf>
    <xf numFmtId="0" fontId="14" fillId="6" borderId="22" xfId="0" applyFont="1" applyFill="1" applyBorder="1" applyAlignment="1">
      <alignment vertical="top" wrapText="1"/>
    </xf>
    <xf numFmtId="0" fontId="3" fillId="6" borderId="22" xfId="0" applyFont="1" applyFill="1" applyBorder="1" applyAlignment="1">
      <alignment vertical="top" wrapText="1"/>
    </xf>
    <xf numFmtId="0" fontId="14" fillId="6" borderId="17" xfId="0" applyFont="1" applyFill="1" applyBorder="1" applyAlignment="1">
      <alignment vertical="top" wrapText="1"/>
    </xf>
    <xf numFmtId="2" fontId="5" fillId="6" borderId="21" xfId="0" applyNumberFormat="1" applyFont="1" applyFill="1" applyBorder="1" applyAlignment="1">
      <alignment horizontal="center" vertical="center"/>
    </xf>
    <xf numFmtId="0" fontId="15" fillId="3" borderId="0" xfId="0" applyFont="1" applyFill="1" applyBorder="1" applyAlignment="1">
      <alignment vertical="top"/>
    </xf>
    <xf numFmtId="0" fontId="2" fillId="4" borderId="12" xfId="0" applyFont="1" applyFill="1" applyBorder="1" applyAlignment="1">
      <alignment vertical="top" wrapText="1"/>
    </xf>
    <xf numFmtId="0" fontId="2" fillId="4" borderId="25" xfId="0" applyFont="1" applyFill="1" applyBorder="1" applyAlignment="1">
      <alignment vertical="top" wrapText="1"/>
    </xf>
    <xf numFmtId="0" fontId="6" fillId="3" borderId="26" xfId="0" applyFont="1" applyFill="1" applyBorder="1" applyAlignment="1">
      <alignment vertical="top"/>
    </xf>
    <xf numFmtId="0" fontId="6" fillId="3" borderId="27" xfId="0" applyFont="1" applyFill="1" applyBorder="1" applyAlignment="1">
      <alignment vertical="top" wrapText="1"/>
    </xf>
    <xf numFmtId="0" fontId="6" fillId="3" borderId="27" xfId="0" applyFont="1" applyFill="1" applyBorder="1" applyAlignment="1">
      <alignment vertical="top"/>
    </xf>
    <xf numFmtId="0" fontId="6" fillId="3" borderId="22" xfId="0" applyFont="1" applyFill="1" applyBorder="1" applyAlignment="1">
      <alignment horizontal="left" vertical="top"/>
    </xf>
    <xf numFmtId="0" fontId="13" fillId="3" borderId="27" xfId="0" applyFont="1" applyFill="1" applyBorder="1" applyAlignment="1">
      <alignment vertical="top" wrapText="1"/>
    </xf>
    <xf numFmtId="0" fontId="3" fillId="6" borderId="22" xfId="0" applyFont="1" applyFill="1" applyBorder="1" applyAlignment="1">
      <alignment horizontal="left" vertical="top"/>
    </xf>
    <xf numFmtId="0" fontId="6" fillId="4" borderId="21" xfId="0" applyFont="1" applyFill="1" applyBorder="1" applyAlignment="1">
      <alignment vertical="top" wrapText="1"/>
    </xf>
    <xf numFmtId="0" fontId="6" fillId="4" borderId="29" xfId="0" applyFont="1" applyFill="1" applyBorder="1" applyAlignment="1">
      <alignment vertical="top" wrapText="1"/>
    </xf>
    <xf numFmtId="0" fontId="2" fillId="4" borderId="30" xfId="0" applyFont="1" applyFill="1" applyBorder="1" applyAlignment="1">
      <alignment vertical="top" wrapText="1"/>
    </xf>
    <xf numFmtId="0" fontId="2" fillId="4" borderId="28" xfId="0" applyFont="1" applyFill="1" applyBorder="1" applyAlignment="1">
      <alignment vertical="top" wrapText="1"/>
    </xf>
    <xf numFmtId="0" fontId="10" fillId="3" borderId="29" xfId="0" applyFont="1" applyFill="1" applyBorder="1" applyAlignment="1">
      <alignment horizontal="center" vertical="center"/>
    </xf>
    <xf numFmtId="0" fontId="16" fillId="4" borderId="18" xfId="0" applyFont="1" applyFill="1" applyBorder="1" applyAlignment="1">
      <alignment vertical="top" wrapText="1"/>
    </xf>
    <xf numFmtId="0" fontId="18" fillId="4" borderId="18" xfId="0" applyFont="1" applyFill="1" applyBorder="1" applyAlignment="1">
      <alignment horizontal="center" vertical="center"/>
    </xf>
    <xf numFmtId="0" fontId="2" fillId="3" borderId="31" xfId="0" applyFont="1" applyFill="1" applyBorder="1" applyAlignment="1">
      <alignment vertical="top" wrapText="1"/>
    </xf>
    <xf numFmtId="0" fontId="2" fillId="4" borderId="0" xfId="0" applyFont="1" applyFill="1" applyBorder="1" applyAlignment="1">
      <alignment vertical="top" wrapText="1"/>
    </xf>
    <xf numFmtId="0" fontId="2" fillId="4" borderId="32" xfId="0" applyFont="1" applyFill="1" applyBorder="1" applyAlignment="1">
      <alignment vertical="top" wrapText="1"/>
    </xf>
    <xf numFmtId="0" fontId="10" fillId="3" borderId="33" xfId="0" applyFont="1" applyFill="1" applyBorder="1" applyAlignment="1">
      <alignment horizontal="center" vertical="center"/>
    </xf>
    <xf numFmtId="0" fontId="3" fillId="6" borderId="34" xfId="0" applyFont="1" applyFill="1" applyBorder="1" applyAlignment="1">
      <alignment horizontal="left" vertical="top"/>
    </xf>
    <xf numFmtId="0" fontId="3" fillId="6" borderId="35" xfId="0" applyFont="1" applyFill="1" applyBorder="1" applyAlignment="1">
      <alignment vertical="top" wrapText="1"/>
    </xf>
    <xf numFmtId="0" fontId="3" fillId="6" borderId="31" xfId="0" applyFont="1" applyFill="1" applyBorder="1" applyAlignment="1">
      <alignment vertical="top" wrapText="1"/>
    </xf>
    <xf numFmtId="0" fontId="6" fillId="3" borderId="36" xfId="0" applyFont="1" applyFill="1" applyBorder="1" applyAlignment="1">
      <alignment vertical="top"/>
    </xf>
    <xf numFmtId="0" fontId="6" fillId="3" borderId="37" xfId="0" applyFont="1" applyFill="1" applyBorder="1" applyAlignment="1">
      <alignment horizontal="left" vertical="top"/>
    </xf>
    <xf numFmtId="0" fontId="6" fillId="3" borderId="38" xfId="0" applyFont="1" applyFill="1" applyBorder="1" applyAlignment="1">
      <alignment vertical="top"/>
    </xf>
    <xf numFmtId="0" fontId="6" fillId="3" borderId="38" xfId="0" applyFont="1" applyFill="1" applyBorder="1" applyAlignment="1">
      <alignment horizontal="left" vertical="top"/>
    </xf>
    <xf numFmtId="0" fontId="2" fillId="3" borderId="38" xfId="0" applyFont="1" applyFill="1" applyBorder="1" applyAlignment="1">
      <alignment vertical="top" wrapText="1"/>
    </xf>
    <xf numFmtId="0" fontId="6" fillId="3" borderId="38" xfId="0" applyFont="1" applyFill="1" applyBorder="1" applyAlignment="1">
      <alignment vertical="top" wrapText="1"/>
    </xf>
    <xf numFmtId="0" fontId="6" fillId="3" borderId="38" xfId="0" applyFont="1" applyFill="1" applyBorder="1" applyAlignment="1">
      <alignment horizontal="center" vertical="center"/>
    </xf>
    <xf numFmtId="0" fontId="14" fillId="6" borderId="25" xfId="0" applyFont="1" applyFill="1" applyBorder="1" applyAlignment="1">
      <alignment vertical="top" wrapText="1"/>
    </xf>
    <xf numFmtId="0" fontId="2" fillId="3" borderId="39" xfId="0" applyFont="1" applyFill="1" applyBorder="1" applyAlignment="1">
      <alignment vertical="top" wrapText="1"/>
    </xf>
    <xf numFmtId="0" fontId="6" fillId="0" borderId="40" xfId="0" applyFont="1" applyFill="1" applyBorder="1" applyAlignment="1">
      <alignment vertical="top" wrapText="1"/>
    </xf>
    <xf numFmtId="0" fontId="2" fillId="4" borderId="41" xfId="0" applyFont="1" applyFill="1" applyBorder="1" applyAlignment="1">
      <alignment vertical="top" wrapText="1"/>
    </xf>
    <xf numFmtId="0" fontId="2" fillId="4" borderId="39" xfId="0" applyFont="1" applyFill="1" applyBorder="1" applyAlignment="1">
      <alignment vertical="top" wrapText="1"/>
    </xf>
    <xf numFmtId="0" fontId="19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top" wrapText="1"/>
    </xf>
    <xf numFmtId="0" fontId="4" fillId="2" borderId="0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0F52B-8DC7-4E18-AA91-1DA8810F330E}">
  <dimension ref="A1:K41"/>
  <sheetViews>
    <sheetView tabSelected="1" zoomScale="80" zoomScaleNormal="80" workbookViewId="0">
      <pane ySplit="8" topLeftCell="A27" activePane="bottomLeft" state="frozen"/>
      <selection pane="bottomLeft" activeCell="G28" sqref="G28"/>
    </sheetView>
  </sheetViews>
  <sheetFormatPr defaultColWidth="9.1796875" defaultRowHeight="13" x14ac:dyDescent="0.35"/>
  <cols>
    <col min="1" max="1" width="3" style="11" customWidth="1"/>
    <col min="2" max="2" width="3.453125" style="11" bestFit="1" customWidth="1"/>
    <col min="3" max="3" width="13.453125" style="19" bestFit="1" customWidth="1"/>
    <col min="4" max="4" width="20.1796875" style="20" customWidth="1"/>
    <col min="5" max="5" width="30.81640625" style="21" customWidth="1"/>
    <col min="6" max="9" width="23.453125" style="20" customWidth="1"/>
    <col min="10" max="10" width="16" style="22" bestFit="1" customWidth="1"/>
    <col min="11" max="11" width="16.1796875" style="22" bestFit="1" customWidth="1"/>
    <col min="12" max="16384" width="9.1796875" style="1"/>
  </cols>
  <sheetData>
    <row r="1" spans="1:11" ht="12.5" x14ac:dyDescent="0.35">
      <c r="A1" s="93" t="s">
        <v>6</v>
      </c>
      <c r="B1" s="93"/>
      <c r="C1" s="93"/>
      <c r="D1" s="93"/>
      <c r="E1" s="93"/>
      <c r="F1" s="93"/>
      <c r="G1" s="93"/>
      <c r="H1" s="93"/>
      <c r="I1" s="93"/>
      <c r="J1" s="93"/>
      <c r="K1" s="93"/>
    </row>
    <row r="2" spans="1:11" ht="12.5" x14ac:dyDescent="0.35">
      <c r="A2" s="93"/>
      <c r="B2" s="93"/>
      <c r="C2" s="93"/>
      <c r="D2" s="93"/>
      <c r="E2" s="93"/>
      <c r="F2" s="93"/>
      <c r="G2" s="93"/>
      <c r="H2" s="93"/>
      <c r="I2" s="93"/>
      <c r="J2" s="93"/>
      <c r="K2" s="93"/>
    </row>
    <row r="3" spans="1:11" ht="12.5" x14ac:dyDescent="0.35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</row>
    <row r="4" spans="1:11" ht="12.5" x14ac:dyDescent="0.35">
      <c r="A4" s="93"/>
      <c r="B4" s="93"/>
      <c r="C4" s="93"/>
      <c r="D4" s="93"/>
      <c r="E4" s="93"/>
      <c r="F4" s="93"/>
      <c r="G4" s="93"/>
      <c r="H4" s="93"/>
      <c r="I4" s="93"/>
      <c r="J4" s="93"/>
      <c r="K4" s="93"/>
    </row>
    <row r="5" spans="1:11" ht="15.75" customHeight="1" x14ac:dyDescent="0.35">
      <c r="A5" s="2"/>
      <c r="B5" s="2"/>
      <c r="C5" s="3"/>
      <c r="D5" s="4"/>
      <c r="E5" s="4"/>
      <c r="F5" s="94"/>
      <c r="G5" s="94"/>
      <c r="H5" s="94"/>
      <c r="I5" s="94"/>
      <c r="J5" s="95" t="s">
        <v>18</v>
      </c>
      <c r="K5" s="95"/>
    </row>
    <row r="6" spans="1:11" s="11" customFormat="1" ht="18" customHeight="1" x14ac:dyDescent="0.35">
      <c r="A6" s="2"/>
      <c r="B6" s="5" t="s">
        <v>7</v>
      </c>
      <c r="C6" s="6"/>
      <c r="D6" s="7"/>
      <c r="E6" s="8"/>
      <c r="F6" s="9" t="s">
        <v>10</v>
      </c>
      <c r="G6" s="10" t="s">
        <v>12</v>
      </c>
      <c r="H6" s="10" t="s">
        <v>13</v>
      </c>
      <c r="I6" s="10" t="s">
        <v>15</v>
      </c>
      <c r="J6" s="96" t="s">
        <v>27</v>
      </c>
      <c r="K6" s="96" t="s">
        <v>17</v>
      </c>
    </row>
    <row r="7" spans="1:11" s="17" customFormat="1" ht="15.75" customHeight="1" x14ac:dyDescent="0.35">
      <c r="A7" s="2"/>
      <c r="B7" s="12"/>
      <c r="C7" s="13" t="s">
        <v>8</v>
      </c>
      <c r="D7" s="7"/>
      <c r="E7" s="14" t="s">
        <v>9</v>
      </c>
      <c r="F7" s="15" t="s">
        <v>11</v>
      </c>
      <c r="G7" s="16" t="s">
        <v>160</v>
      </c>
      <c r="H7" s="16" t="s">
        <v>14</v>
      </c>
      <c r="I7" s="16" t="s">
        <v>16</v>
      </c>
      <c r="J7" s="97"/>
      <c r="K7" s="97"/>
    </row>
    <row r="8" spans="1:11" s="20" customFormat="1" ht="20" x14ac:dyDescent="0.35">
      <c r="A8" s="18" t="s">
        <v>19</v>
      </c>
      <c r="B8" s="11"/>
      <c r="C8" s="19"/>
      <c r="E8" s="21"/>
      <c r="J8" s="22"/>
      <c r="K8" s="22"/>
    </row>
    <row r="9" spans="1:11" s="29" customFormat="1" ht="23.5" thickBot="1" x14ac:dyDescent="0.4">
      <c r="A9" s="23"/>
      <c r="B9" s="24" t="s">
        <v>20</v>
      </c>
      <c r="C9" s="25"/>
      <c r="D9" s="26"/>
      <c r="E9" s="27"/>
      <c r="F9" s="26"/>
      <c r="G9" s="26"/>
      <c r="H9" s="26"/>
      <c r="I9" s="26"/>
      <c r="J9" s="28" t="e">
        <f>AVERAGE(J11:J12,J14:J19,J21:J26,J28:J33,J35:J40)</f>
        <v>#DIV/0!</v>
      </c>
      <c r="K9" s="28" t="e">
        <f>AVERAGE(K11:K12,K14:K19,K21:K26,K28:K33,K35:K40)</f>
        <v>#DIV/0!</v>
      </c>
    </row>
    <row r="10" spans="1:11" s="38" customFormat="1" ht="18" x14ac:dyDescent="0.35">
      <c r="A10" s="30"/>
      <c r="B10" s="31"/>
      <c r="C10" s="32" t="s">
        <v>66</v>
      </c>
      <c r="D10" s="33"/>
      <c r="E10" s="34"/>
      <c r="F10" s="35"/>
      <c r="G10" s="35"/>
      <c r="H10" s="35"/>
      <c r="I10" s="36"/>
      <c r="J10" s="37" t="e">
        <f>AVERAGE(J11:J12)</f>
        <v>#DIV/0!</v>
      </c>
      <c r="K10" s="37" t="e">
        <f>AVERAGE(K11:K12)</f>
        <v>#DIV/0!</v>
      </c>
    </row>
    <row r="11" spans="1:11" ht="100" x14ac:dyDescent="0.35">
      <c r="B11" s="39"/>
      <c r="C11" s="40">
        <v>1</v>
      </c>
      <c r="D11" s="41" t="s">
        <v>21</v>
      </c>
      <c r="E11" s="42" t="s">
        <v>22</v>
      </c>
      <c r="F11" s="43" t="s">
        <v>23</v>
      </c>
      <c r="G11" s="43" t="s">
        <v>24</v>
      </c>
      <c r="H11" s="43" t="s">
        <v>25</v>
      </c>
      <c r="I11" s="44" t="s">
        <v>26</v>
      </c>
      <c r="J11" s="45"/>
      <c r="K11" s="45"/>
    </row>
    <row r="12" spans="1:11" ht="87.5" x14ac:dyDescent="0.35">
      <c r="B12" s="39"/>
      <c r="C12" s="82">
        <v>2</v>
      </c>
      <c r="D12" s="89" t="s">
        <v>29</v>
      </c>
      <c r="E12" s="90" t="s">
        <v>28</v>
      </c>
      <c r="F12" s="91" t="s">
        <v>30</v>
      </c>
      <c r="G12" s="91" t="s">
        <v>31</v>
      </c>
      <c r="H12" s="91" t="s">
        <v>32</v>
      </c>
      <c r="I12" s="92" t="s">
        <v>33</v>
      </c>
      <c r="J12" s="45"/>
      <c r="K12" s="45"/>
    </row>
    <row r="13" spans="1:11" s="38" customFormat="1" ht="18" x14ac:dyDescent="0.35">
      <c r="A13" s="30"/>
      <c r="B13" s="31"/>
      <c r="C13" s="32" t="s">
        <v>65</v>
      </c>
      <c r="D13" s="33"/>
      <c r="E13" s="34"/>
      <c r="F13" s="33"/>
      <c r="G13" s="33"/>
      <c r="H13" s="33"/>
      <c r="I13" s="88"/>
      <c r="J13" s="37" t="e">
        <f>AVERAGE(J14:J19)</f>
        <v>#DIV/0!</v>
      </c>
      <c r="K13" s="37" t="e">
        <f>AVERAGE(K14:K19)</f>
        <v>#DIV/0!</v>
      </c>
    </row>
    <row r="14" spans="1:11" ht="39" x14ac:dyDescent="0.35">
      <c r="B14" s="39"/>
      <c r="C14" s="40">
        <v>3</v>
      </c>
      <c r="D14" s="41" t="s">
        <v>35</v>
      </c>
      <c r="E14" s="46" t="s">
        <v>34</v>
      </c>
      <c r="F14" s="47" t="s">
        <v>36</v>
      </c>
      <c r="G14" s="47" t="s">
        <v>38</v>
      </c>
      <c r="H14" s="47" t="s">
        <v>37</v>
      </c>
      <c r="I14" s="48" t="s">
        <v>39</v>
      </c>
      <c r="J14" s="45"/>
      <c r="K14" s="45"/>
    </row>
    <row r="15" spans="1:11" ht="62.5" x14ac:dyDescent="0.35">
      <c r="B15" s="39"/>
      <c r="C15" s="40">
        <f>C14+1</f>
        <v>4</v>
      </c>
      <c r="D15" s="41" t="s">
        <v>0</v>
      </c>
      <c r="E15" s="49" t="s">
        <v>40</v>
      </c>
      <c r="F15" s="47" t="s">
        <v>42</v>
      </c>
      <c r="G15" s="47" t="s">
        <v>41</v>
      </c>
      <c r="H15" s="47" t="s">
        <v>43</v>
      </c>
      <c r="I15" s="48" t="s">
        <v>44</v>
      </c>
      <c r="J15" s="45"/>
      <c r="K15" s="45"/>
    </row>
    <row r="16" spans="1:11" ht="75" x14ac:dyDescent="0.35">
      <c r="B16" s="39"/>
      <c r="C16" s="40">
        <f>C15+1</f>
        <v>5</v>
      </c>
      <c r="D16" s="41" t="s">
        <v>0</v>
      </c>
      <c r="E16" s="46" t="s">
        <v>45</v>
      </c>
      <c r="F16" s="47" t="s">
        <v>46</v>
      </c>
      <c r="G16" s="47" t="s">
        <v>47</v>
      </c>
      <c r="H16" s="47" t="s">
        <v>48</v>
      </c>
      <c r="I16" s="48" t="s">
        <v>49</v>
      </c>
      <c r="J16" s="45"/>
      <c r="K16" s="45"/>
    </row>
    <row r="17" spans="1:11" ht="75" x14ac:dyDescent="0.35">
      <c r="B17" s="39"/>
      <c r="C17" s="40">
        <f>C16+1</f>
        <v>6</v>
      </c>
      <c r="D17" s="41" t="s">
        <v>1</v>
      </c>
      <c r="E17" s="49" t="s">
        <v>50</v>
      </c>
      <c r="F17" s="47" t="s">
        <v>51</v>
      </c>
      <c r="G17" s="47" t="s">
        <v>52</v>
      </c>
      <c r="H17" s="47" t="s">
        <v>53</v>
      </c>
      <c r="I17" s="48" t="s">
        <v>54</v>
      </c>
      <c r="J17" s="45"/>
      <c r="K17" s="45"/>
    </row>
    <row r="18" spans="1:11" ht="62.5" x14ac:dyDescent="0.35">
      <c r="B18" s="39"/>
      <c r="C18" s="40">
        <f>C17+1</f>
        <v>7</v>
      </c>
      <c r="D18" s="41" t="s">
        <v>2</v>
      </c>
      <c r="E18" s="46" t="s">
        <v>55</v>
      </c>
      <c r="F18" s="47" t="s">
        <v>56</v>
      </c>
      <c r="G18" s="47" t="s">
        <v>57</v>
      </c>
      <c r="H18" s="47" t="s">
        <v>59</v>
      </c>
      <c r="I18" s="48" t="s">
        <v>58</v>
      </c>
      <c r="J18" s="45"/>
      <c r="K18" s="45"/>
    </row>
    <row r="19" spans="1:11" ht="87.5" x14ac:dyDescent="0.35">
      <c r="B19" s="39"/>
      <c r="C19" s="40">
        <f>C18+1</f>
        <v>8</v>
      </c>
      <c r="D19" s="44" t="s">
        <v>3</v>
      </c>
      <c r="E19" s="42" t="s">
        <v>60</v>
      </c>
      <c r="F19" s="50" t="s">
        <v>61</v>
      </c>
      <c r="G19" s="50" t="s">
        <v>62</v>
      </c>
      <c r="H19" s="50" t="s">
        <v>63</v>
      </c>
      <c r="I19" s="51" t="s">
        <v>64</v>
      </c>
      <c r="J19" s="45"/>
      <c r="K19" s="45"/>
    </row>
    <row r="20" spans="1:11" s="58" customFormat="1" ht="18" x14ac:dyDescent="0.35">
      <c r="A20" s="30"/>
      <c r="B20" s="52"/>
      <c r="C20" s="53" t="s">
        <v>67</v>
      </c>
      <c r="D20" s="54"/>
      <c r="E20" s="55"/>
      <c r="F20" s="54"/>
      <c r="G20" s="54"/>
      <c r="H20" s="54"/>
      <c r="I20" s="56"/>
      <c r="J20" s="57" t="e">
        <f>AVERAGE(J21:J26)</f>
        <v>#DIV/0!</v>
      </c>
      <c r="K20" s="57" t="e">
        <f>AVERAGE(K21:K26)</f>
        <v>#DIV/0!</v>
      </c>
    </row>
    <row r="21" spans="1:11" ht="100" x14ac:dyDescent="0.35">
      <c r="B21" s="39"/>
      <c r="C21" s="40">
        <f>C19+1</f>
        <v>9</v>
      </c>
      <c r="D21" s="41" t="s">
        <v>68</v>
      </c>
      <c r="E21" s="49" t="s">
        <v>69</v>
      </c>
      <c r="F21" s="59" t="s">
        <v>70</v>
      </c>
      <c r="G21" s="59" t="s">
        <v>71</v>
      </c>
      <c r="H21" s="59" t="s">
        <v>72</v>
      </c>
      <c r="I21" s="60" t="s">
        <v>73</v>
      </c>
      <c r="J21" s="45"/>
      <c r="K21" s="45"/>
    </row>
    <row r="22" spans="1:11" ht="52" x14ac:dyDescent="0.35">
      <c r="B22" s="39"/>
      <c r="C22" s="40">
        <f>C21+1</f>
        <v>10</v>
      </c>
      <c r="D22" s="41" t="s">
        <v>74</v>
      </c>
      <c r="E22" s="49" t="s">
        <v>77</v>
      </c>
      <c r="F22" s="59" t="s">
        <v>75</v>
      </c>
      <c r="G22" s="59" t="s">
        <v>76</v>
      </c>
      <c r="H22" s="59" t="s">
        <v>78</v>
      </c>
      <c r="I22" s="59" t="s">
        <v>79</v>
      </c>
      <c r="J22" s="45"/>
      <c r="K22" s="45"/>
    </row>
    <row r="23" spans="1:11" ht="100" x14ac:dyDescent="0.35">
      <c r="B23" s="39"/>
      <c r="C23" s="40">
        <f>C22+1</f>
        <v>11</v>
      </c>
      <c r="D23" s="41" t="s">
        <v>80</v>
      </c>
      <c r="E23" s="49" t="s">
        <v>81</v>
      </c>
      <c r="F23" s="59" t="s">
        <v>70</v>
      </c>
      <c r="G23" s="59" t="s">
        <v>71</v>
      </c>
      <c r="H23" s="59" t="s">
        <v>82</v>
      </c>
      <c r="I23" s="59" t="s">
        <v>73</v>
      </c>
      <c r="J23" s="45"/>
      <c r="K23" s="45"/>
    </row>
    <row r="24" spans="1:11" ht="100" x14ac:dyDescent="0.35">
      <c r="B24" s="61"/>
      <c r="C24" s="40">
        <f>C23+1</f>
        <v>12</v>
      </c>
      <c r="D24" s="41" t="s">
        <v>83</v>
      </c>
      <c r="E24" s="49" t="s">
        <v>84</v>
      </c>
      <c r="F24" s="59" t="s">
        <v>70</v>
      </c>
      <c r="G24" s="59" t="s">
        <v>71</v>
      </c>
      <c r="H24" s="59" t="s">
        <v>82</v>
      </c>
      <c r="I24" s="59" t="s">
        <v>73</v>
      </c>
      <c r="J24" s="45"/>
      <c r="K24" s="45"/>
    </row>
    <row r="25" spans="1:11" ht="100" x14ac:dyDescent="0.35">
      <c r="B25" s="62"/>
      <c r="C25" s="40">
        <f>C24+1</f>
        <v>13</v>
      </c>
      <c r="D25" s="41" t="s">
        <v>83</v>
      </c>
      <c r="E25" s="49" t="s">
        <v>85</v>
      </c>
      <c r="F25" s="59" t="s">
        <v>70</v>
      </c>
      <c r="G25" s="59" t="s">
        <v>71</v>
      </c>
      <c r="H25" s="59" t="s">
        <v>82</v>
      </c>
      <c r="I25" s="59" t="s">
        <v>73</v>
      </c>
      <c r="J25" s="45"/>
      <c r="K25" s="45"/>
    </row>
    <row r="26" spans="1:11" ht="50" x14ac:dyDescent="0.35">
      <c r="B26" s="63"/>
      <c r="C26" s="64">
        <f>C25+1</f>
        <v>14</v>
      </c>
      <c r="D26" s="41" t="s">
        <v>86</v>
      </c>
      <c r="E26" s="49" t="s">
        <v>87</v>
      </c>
      <c r="F26" s="47" t="s">
        <v>88</v>
      </c>
      <c r="G26" s="47" t="s">
        <v>89</v>
      </c>
      <c r="H26" s="47" t="s">
        <v>90</v>
      </c>
      <c r="I26" s="48" t="s">
        <v>91</v>
      </c>
      <c r="J26" s="45"/>
      <c r="K26" s="45"/>
    </row>
    <row r="27" spans="1:11" s="58" customFormat="1" ht="18" x14ac:dyDescent="0.35">
      <c r="A27" s="30"/>
      <c r="B27" s="65"/>
      <c r="C27" s="66" t="s">
        <v>4</v>
      </c>
      <c r="D27" s="54"/>
      <c r="E27" s="55"/>
      <c r="F27" s="54"/>
      <c r="G27" s="54"/>
      <c r="H27" s="54"/>
      <c r="I27" s="56"/>
      <c r="J27" s="57" t="e">
        <f>AVERAGE(J28:J33)</f>
        <v>#DIV/0!</v>
      </c>
      <c r="K27" s="57" t="e">
        <f>AVERAGE(K28:K33)</f>
        <v>#DIV/0!</v>
      </c>
    </row>
    <row r="28" spans="1:11" ht="75" x14ac:dyDescent="0.35">
      <c r="B28" s="63"/>
      <c r="C28" s="64">
        <f>C26+1</f>
        <v>15</v>
      </c>
      <c r="D28" s="41" t="s">
        <v>92</v>
      </c>
      <c r="E28" s="67" t="s">
        <v>93</v>
      </c>
      <c r="F28" s="47" t="s">
        <v>94</v>
      </c>
      <c r="G28" s="47" t="s">
        <v>161</v>
      </c>
      <c r="H28" s="47" t="s">
        <v>95</v>
      </c>
      <c r="I28" s="48" t="s">
        <v>96</v>
      </c>
      <c r="J28" s="45"/>
      <c r="K28" s="45"/>
    </row>
    <row r="29" spans="1:11" ht="75" x14ac:dyDescent="0.35">
      <c r="B29" s="39"/>
      <c r="C29" s="40">
        <f>C28+1</f>
        <v>16</v>
      </c>
      <c r="D29" s="41" t="s">
        <v>86</v>
      </c>
      <c r="E29" s="68" t="s">
        <v>97</v>
      </c>
      <c r="F29" s="69" t="s">
        <v>88</v>
      </c>
      <c r="G29" s="69" t="s">
        <v>98</v>
      </c>
      <c r="H29" s="69" t="s">
        <v>99</v>
      </c>
      <c r="I29" s="70" t="s">
        <v>100</v>
      </c>
      <c r="J29" s="45"/>
      <c r="K29" s="71"/>
    </row>
    <row r="30" spans="1:11" ht="50" x14ac:dyDescent="0.35">
      <c r="B30" s="39"/>
      <c r="C30" s="40">
        <f>C29+1</f>
        <v>17</v>
      </c>
      <c r="D30" s="41" t="s">
        <v>101</v>
      </c>
      <c r="E30" s="67" t="s">
        <v>102</v>
      </c>
      <c r="F30" s="47" t="s">
        <v>103</v>
      </c>
      <c r="G30" s="47" t="s">
        <v>104</v>
      </c>
      <c r="H30" s="47" t="s">
        <v>105</v>
      </c>
      <c r="I30" s="48" t="s">
        <v>106</v>
      </c>
      <c r="J30" s="45"/>
      <c r="K30" s="45"/>
    </row>
    <row r="31" spans="1:11" ht="50" x14ac:dyDescent="0.35">
      <c r="B31" s="39"/>
      <c r="C31" s="40">
        <f>C30+1</f>
        <v>18</v>
      </c>
      <c r="D31" s="44" t="s">
        <v>107</v>
      </c>
      <c r="E31" s="72" t="s">
        <v>108</v>
      </c>
      <c r="F31" s="43" t="s">
        <v>109</v>
      </c>
      <c r="G31" s="43" t="s">
        <v>110</v>
      </c>
      <c r="H31" s="43" t="s">
        <v>111</v>
      </c>
      <c r="I31" s="44" t="s">
        <v>112</v>
      </c>
      <c r="J31" s="45"/>
      <c r="K31" s="73"/>
    </row>
    <row r="32" spans="1:11" ht="91" x14ac:dyDescent="0.35">
      <c r="B32" s="39"/>
      <c r="C32" s="40">
        <f>C31+1</f>
        <v>19</v>
      </c>
      <c r="D32" s="41" t="s">
        <v>5</v>
      </c>
      <c r="E32" s="68" t="s">
        <v>113</v>
      </c>
      <c r="F32" s="59" t="s">
        <v>114</v>
      </c>
      <c r="G32" s="59" t="s">
        <v>115</v>
      </c>
      <c r="H32" s="59" t="s">
        <v>116</v>
      </c>
      <c r="I32" s="60" t="s">
        <v>117</v>
      </c>
      <c r="J32" s="45"/>
      <c r="K32" s="45"/>
    </row>
    <row r="33" spans="1:11" ht="52" x14ac:dyDescent="0.35">
      <c r="B33" s="39"/>
      <c r="C33" s="40">
        <f>C32+1</f>
        <v>20</v>
      </c>
      <c r="D33" s="74" t="s">
        <v>118</v>
      </c>
      <c r="E33" s="68" t="s">
        <v>119</v>
      </c>
      <c r="F33" s="75" t="s">
        <v>120</v>
      </c>
      <c r="G33" s="75" t="s">
        <v>121</v>
      </c>
      <c r="H33" s="75" t="s">
        <v>122</v>
      </c>
      <c r="I33" s="76" t="s">
        <v>123</v>
      </c>
      <c r="J33" s="71"/>
      <c r="K33" s="77"/>
    </row>
    <row r="34" spans="1:11" s="30" customFormat="1" ht="18" x14ac:dyDescent="0.35">
      <c r="B34" s="52"/>
      <c r="C34" s="78" t="s">
        <v>124</v>
      </c>
      <c r="D34" s="79"/>
      <c r="E34" s="79"/>
      <c r="F34" s="79"/>
      <c r="G34" s="79"/>
      <c r="H34" s="79"/>
      <c r="I34" s="80"/>
      <c r="J34" s="57" t="e">
        <f>AVERAGE(J35:J40)</f>
        <v>#DIV/0!</v>
      </c>
      <c r="K34" s="57" t="e">
        <f>AVERAGE(K35:K40)</f>
        <v>#DIV/0!</v>
      </c>
    </row>
    <row r="35" spans="1:11" s="20" customFormat="1" ht="75" x14ac:dyDescent="0.35">
      <c r="A35" s="11"/>
      <c r="B35" s="39"/>
      <c r="C35" s="40">
        <f>C33+1</f>
        <v>21</v>
      </c>
      <c r="D35" s="41" t="s">
        <v>125</v>
      </c>
      <c r="E35" s="67" t="s">
        <v>126</v>
      </c>
      <c r="F35" s="47" t="s">
        <v>127</v>
      </c>
      <c r="G35" s="47" t="s">
        <v>128</v>
      </c>
      <c r="H35" s="47" t="s">
        <v>129</v>
      </c>
      <c r="I35" s="48" t="s">
        <v>130</v>
      </c>
      <c r="J35" s="45"/>
      <c r="K35" s="45"/>
    </row>
    <row r="36" spans="1:11" s="20" customFormat="1" ht="87.5" x14ac:dyDescent="0.35">
      <c r="A36" s="11"/>
      <c r="B36" s="39"/>
      <c r="C36" s="40">
        <f>C35+1</f>
        <v>22</v>
      </c>
      <c r="D36" s="41" t="s">
        <v>131</v>
      </c>
      <c r="E36" s="67" t="s">
        <v>132</v>
      </c>
      <c r="F36" s="47" t="s">
        <v>133</v>
      </c>
      <c r="G36" s="47" t="s">
        <v>134</v>
      </c>
      <c r="H36" s="47" t="s">
        <v>135</v>
      </c>
      <c r="I36" s="48" t="s">
        <v>136</v>
      </c>
      <c r="J36" s="45"/>
      <c r="K36" s="45"/>
    </row>
    <row r="37" spans="1:11" s="20" customFormat="1" ht="75" x14ac:dyDescent="0.35">
      <c r="A37" s="11"/>
      <c r="B37" s="39"/>
      <c r="C37" s="40">
        <f>C36+1</f>
        <v>23</v>
      </c>
      <c r="D37" s="41" t="s">
        <v>137</v>
      </c>
      <c r="E37" s="67" t="s">
        <v>138</v>
      </c>
      <c r="F37" s="47" t="s">
        <v>133</v>
      </c>
      <c r="G37" s="47" t="s">
        <v>139</v>
      </c>
      <c r="H37" s="47" t="s">
        <v>140</v>
      </c>
      <c r="I37" s="48" t="s">
        <v>141</v>
      </c>
      <c r="J37" s="45"/>
      <c r="K37" s="45"/>
    </row>
    <row r="38" spans="1:11" s="20" customFormat="1" ht="62.5" x14ac:dyDescent="0.35">
      <c r="A38" s="11"/>
      <c r="B38" s="39"/>
      <c r="C38" s="40">
        <f>C37+1</f>
        <v>24</v>
      </c>
      <c r="D38" s="44" t="s">
        <v>142</v>
      </c>
      <c r="E38" s="72" t="s">
        <v>143</v>
      </c>
      <c r="F38" s="43" t="s">
        <v>144</v>
      </c>
      <c r="G38" s="43" t="s">
        <v>145</v>
      </c>
      <c r="H38" s="43" t="s">
        <v>146</v>
      </c>
      <c r="I38" s="44" t="s">
        <v>147</v>
      </c>
      <c r="J38" s="45"/>
      <c r="K38" s="73"/>
    </row>
    <row r="39" spans="1:11" s="20" customFormat="1" ht="62.5" x14ac:dyDescent="0.35">
      <c r="A39" s="11"/>
      <c r="B39" s="39"/>
      <c r="C39" s="40">
        <f>C38+1</f>
        <v>25</v>
      </c>
      <c r="D39" s="41" t="s">
        <v>148</v>
      </c>
      <c r="E39" s="67" t="s">
        <v>149</v>
      </c>
      <c r="F39" s="47" t="s">
        <v>150</v>
      </c>
      <c r="G39" s="47" t="s">
        <v>151</v>
      </c>
      <c r="H39" s="47" t="s">
        <v>152</v>
      </c>
      <c r="I39" s="48" t="s">
        <v>153</v>
      </c>
      <c r="J39" s="45"/>
      <c r="K39" s="45"/>
    </row>
    <row r="40" spans="1:11" s="20" customFormat="1" ht="75" x14ac:dyDescent="0.35">
      <c r="A40" s="11"/>
      <c r="B40" s="81"/>
      <c r="C40" s="82">
        <f>C39+1</f>
        <v>26</v>
      </c>
      <c r="D40" s="44" t="s">
        <v>154</v>
      </c>
      <c r="E40" s="72" t="s">
        <v>155</v>
      </c>
      <c r="F40" s="43" t="s">
        <v>156</v>
      </c>
      <c r="G40" s="43" t="s">
        <v>157</v>
      </c>
      <c r="H40" s="43" t="s">
        <v>159</v>
      </c>
      <c r="I40" s="44" t="s">
        <v>158</v>
      </c>
      <c r="J40" s="45"/>
      <c r="K40" s="45"/>
    </row>
    <row r="41" spans="1:11" ht="13.5" thickBot="1" x14ac:dyDescent="0.4">
      <c r="A41" s="83"/>
      <c r="B41" s="83"/>
      <c r="C41" s="84"/>
      <c r="D41" s="85"/>
      <c r="E41" s="86"/>
      <c r="F41" s="85"/>
      <c r="G41" s="85"/>
      <c r="H41" s="85"/>
      <c r="I41" s="85"/>
      <c r="J41" s="87"/>
      <c r="K41" s="87"/>
    </row>
  </sheetData>
  <mergeCells count="5">
    <mergeCell ref="A1:K4"/>
    <mergeCell ref="F5:I5"/>
    <mergeCell ref="J5:K5"/>
    <mergeCell ref="J6:J7"/>
    <mergeCell ref="K6:K7"/>
  </mergeCells>
  <dataValidations count="1">
    <dataValidation type="list" allowBlank="1" showInputMessage="1" showErrorMessage="1" sqref="J14:K19 J35:K40 J28:K33 J21:K26 J11:K12" xr:uid="{8EE866A5-1B02-45A1-AB1D-4D35BC68FF28}">
      <formula1>"NA,4,3.5,3,2.5,2,1.5,1"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Versão em Portugues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Mota</dc:creator>
  <cp:lastModifiedBy>Cristian Mota</cp:lastModifiedBy>
  <dcterms:created xsi:type="dcterms:W3CDTF">2019-05-28T18:43:24Z</dcterms:created>
  <dcterms:modified xsi:type="dcterms:W3CDTF">2024-03-20T18:21:04Z</dcterms:modified>
</cp:coreProperties>
</file>